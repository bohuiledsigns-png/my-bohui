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a237e"/>
      <sz val="15"/>
    </font>
    <font>
      <name val="Arial"/>
      <b val="1"/>
      <color rgb="001a237e"/>
      <sz val="11"/>
    </font>
    <font>
      <name val="Arial"/>
      <sz val="10"/>
    </font>
    <font>
      <name val="Arial"/>
      <b val="1"/>
      <sz val="10"/>
    </font>
    <font>
      <name val="Arial"/>
      <color rgb="00616161"/>
      <sz val="9"/>
    </font>
    <font>
      <name val="Arial"/>
      <b val="1"/>
      <color rgb="000d47a1"/>
      <sz val="10"/>
    </font>
    <font>
      <name val="Arial"/>
      <b val="1"/>
      <color rgb="00d4af37"/>
      <sz val="14"/>
    </font>
    <font>
      <name val="Arial"/>
      <b val="1"/>
      <color rgb="001a237e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c5cae9"/>
        <bgColor rgb="00c5cae9"/>
      </patternFill>
    </fill>
    <fill>
      <patternFill patternType="solid">
        <fgColor rgb="00e8eaf6"/>
        <bgColor rgb="00e8eaf6"/>
      </patternFill>
    </fill>
    <fill>
      <patternFill patternType="solid">
        <fgColor rgb="00fff8e1"/>
        <bgColor rgb="00fff8e1"/>
      </patternFill>
    </fill>
    <fill>
      <patternFill patternType="solid">
        <fgColor rgb="001a237e"/>
        <bgColor rgb="001a237e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/>
    </xf>
    <xf numFmtId="0" fontId="3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" fontId="4" fillId="6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2" fontId="11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55" customWidth="1" min="4" max="4"/>
    <col width="4" customWidth="1" min="5" max="5"/>
    <col width="18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Bohui LED Sign Quote Calculator / 博汇发光字报价计算器</t>
        </is>
      </c>
    </row>
    <row r="3">
      <c r="A3" s="2" t="inlineStr">
        <is>
          <t>&gt;&gt; INPUT / 输入参数</t>
        </is>
      </c>
    </row>
    <row r="4">
      <c r="A4" s="3" t="inlineStr"/>
      <c r="B4" s="3" t="inlineStr">
        <is>
          <t>Product Type / 产品类型</t>
        </is>
      </c>
      <c r="C4" s="4" t="inlineStr">
        <is>
          <t>front</t>
        </is>
      </c>
      <c r="D4" s="5" t="inlineStr"/>
    </row>
    <row r="5">
      <c r="A5" s="3" t="inlineStr"/>
      <c r="B5" s="3" t="inlineStr">
        <is>
          <t>Material / 材质</t>
        </is>
      </c>
      <c r="C5" s="4" t="inlineStr">
        <is>
          <t>ss304</t>
        </is>
      </c>
      <c r="D5" s="6" t="inlineStr"/>
    </row>
    <row r="6">
      <c r="A6" s="3" t="inlineStr"/>
      <c r="B6" s="3" t="inlineStr">
        <is>
          <t>Width / 宽度 (cm)</t>
        </is>
      </c>
      <c r="C6" s="7" t="n">
        <v>50</v>
      </c>
      <c r="D6" s="5" t="inlineStr"/>
    </row>
    <row r="7">
      <c r="A7" s="3" t="inlineStr"/>
      <c r="B7" s="3" t="inlineStr">
        <is>
          <t>Height / 高度 (cm)</t>
        </is>
      </c>
      <c r="C7" s="7" t="n">
        <v>50</v>
      </c>
      <c r="D7" s="6" t="inlineStr"/>
    </row>
    <row r="8">
      <c r="A8" s="3" t="inlineStr"/>
      <c r="B8" s="3" t="inlineStr">
        <is>
          <t>Thickness / 厚度 (cm)</t>
        </is>
      </c>
      <c r="C8" s="7" t="n">
        <v>8</v>
      </c>
      <c r="D8" s="5" t="inlineStr"/>
    </row>
    <row r="9">
      <c r="A9" s="3" t="inlineStr"/>
      <c r="B9" s="3" t="inlineStr">
        <is>
          <t>Quantity / 数量</t>
        </is>
      </c>
      <c r="C9" s="7" t="n">
        <v>1</v>
      </c>
      <c r="D9" s="6" t="inlineStr"/>
    </row>
    <row r="10">
      <c r="A10" s="3" t="inlineStr"/>
      <c r="B10" s="3" t="inlineStr">
        <is>
          <t>Markup / 加价率 (%)</t>
        </is>
      </c>
      <c r="C10" s="7" t="n">
        <v>30</v>
      </c>
      <c r="D10" s="5" t="inlineStr">
        <is>
          <t>Default 30% (adjustable)</t>
        </is>
      </c>
    </row>
    <row r="12">
      <c r="A12" s="2" t="inlineStr">
        <is>
          <t>&gt;&gt; CALCULATION / 中间计算</t>
        </is>
      </c>
    </row>
    <row r="13">
      <c r="B13" s="3" t="inlineStr">
        <is>
          <t>Max Side / 最大边长</t>
        </is>
      </c>
      <c r="C13" s="8">
        <f>MAX(D6,D7)</f>
        <v/>
      </c>
    </row>
    <row r="14">
      <c r="B14" s="3" t="inlineStr">
        <is>
          <t>Area / 面积 (m2)</t>
        </is>
      </c>
      <c r="C14" s="9">
        <f>(D6*D7)/10000</f>
        <v/>
      </c>
    </row>
    <row r="15">
      <c r="B15" s="3" t="inlineStr">
        <is>
          <t>Product Coefficient / 产品系数</t>
        </is>
      </c>
      <c r="C15" s="10" t="n">
        <v>1</v>
      </c>
    </row>
    <row r="16">
      <c r="B16" s="3" t="inlineStr">
        <is>
          <t>Base Price / 基础价</t>
        </is>
      </c>
      <c r="C16" s="11">
        <f>IF(D13&lt;100, D13*6*D9, D14*750*D9)</f>
        <v/>
      </c>
    </row>
    <row r="17">
      <c r="B17" s="3" t="inlineStr">
        <is>
          <t>Net Price / 净价</t>
        </is>
      </c>
      <c r="C17" s="11">
        <f>D17*D16</f>
        <v/>
      </c>
    </row>
    <row r="19">
      <c r="A19" s="2" t="inlineStr">
        <is>
          <t>&gt;&gt; PRICE BREAKDOWN / 费用分解</t>
        </is>
      </c>
    </row>
    <row r="20">
      <c r="B20" s="3" t="inlineStr">
        <is>
          <t>Net Price / 净价</t>
        </is>
      </c>
      <c r="C20" s="12">
        <f>D18</f>
        <v/>
      </c>
    </row>
    <row r="21">
      <c r="B21" s="3" t="inlineStr">
        <is>
          <t>Service Fee 10% / 服务费</t>
        </is>
      </c>
      <c r="C21" s="12">
        <f>D20*0.1</f>
        <v/>
      </c>
    </row>
    <row r="22">
      <c r="B22" s="3" t="inlineStr">
        <is>
          <t>Internal Cost / 内部成本</t>
        </is>
      </c>
      <c r="C22" s="12">
        <f>D20+D21</f>
        <v/>
      </c>
    </row>
    <row r="23">
      <c r="B23" s="3" t="inlineStr">
        <is>
          <t>FINAL PRICE / 正式报价</t>
        </is>
      </c>
      <c r="C23" s="13">
        <f>D22*(1+D10/100)</f>
        <v/>
      </c>
    </row>
    <row r="26">
      <c r="B26" s="14" t="inlineStr">
        <is>
          <t>Product Type Reference / 产品类型参考表</t>
        </is>
      </c>
      <c r="F26" s="14" t="inlineStr">
        <is>
          <t>Material Ref / 材质参考</t>
        </is>
      </c>
    </row>
    <row r="27">
      <c r="B27" s="15" t="inlineStr">
        <is>
          <t>Code</t>
        </is>
      </c>
      <c r="C27" s="15" t="inlineStr">
        <is>
          <t>Name</t>
        </is>
      </c>
      <c r="D27" s="15" t="inlineStr">
        <is>
          <t>Coeff</t>
        </is>
      </c>
      <c r="F27" s="15" t="inlineStr">
        <is>
          <t>Material</t>
        </is>
      </c>
      <c r="G27" s="15" t="inlineStr">
        <is>
          <t>30-59cm</t>
        </is>
      </c>
      <c r="H27" s="15" t="inlineStr">
        <is>
          <t>60-99cm</t>
        </is>
      </c>
      <c r="I27" s="15" t="inlineStr">
        <is>
          <t>&gt;=100cm/m2</t>
        </is>
      </c>
    </row>
    <row r="28">
      <c r="B28" s="16" t="inlineStr">
        <is>
          <t>front</t>
        </is>
      </c>
      <c r="C28" s="17" t="inlineStr">
        <is>
          <t>Front Lit / 正面发光</t>
        </is>
      </c>
      <c r="D28" s="18" t="n">
        <v>1</v>
      </c>
      <c r="F28" s="17" t="inlineStr">
        <is>
          <t>ss304 / 304钢</t>
        </is>
      </c>
      <c r="G28" s="19" t="n">
        <v>6</v>
      </c>
      <c r="H28" s="19" t="n">
        <v>7</v>
      </c>
      <c r="I28" s="20" t="n">
        <v>750</v>
      </c>
    </row>
    <row r="29">
      <c r="B29" s="16" t="inlineStr">
        <is>
          <t>back</t>
        </is>
      </c>
      <c r="C29" s="17" t="inlineStr">
        <is>
          <t>Halo Backlit / 背面发光</t>
        </is>
      </c>
      <c r="D29" s="18" t="n">
        <v>1.1</v>
      </c>
      <c r="F29" s="17" t="inlineStr">
        <is>
          <t>ss201 / 201钢</t>
        </is>
      </c>
      <c r="G29" s="19" t="n">
        <v>5</v>
      </c>
      <c r="H29" s="19" t="n">
        <v>6</v>
      </c>
      <c r="I29" s="20" t="n">
        <v>650</v>
      </c>
    </row>
    <row r="30">
      <c r="B30" s="16" t="inlineStr">
        <is>
          <t>double</t>
        </is>
      </c>
      <c r="C30" s="17" t="inlineStr">
        <is>
          <t>Dual Lit / 双面发光</t>
        </is>
      </c>
      <c r="D30" s="18" t="n">
        <v>1.2</v>
      </c>
      <c r="F30" s="17" t="inlineStr">
        <is>
          <t>ss316 / 316钢</t>
        </is>
      </c>
      <c r="G30" s="19" t="n">
        <v>7</v>
      </c>
      <c r="H30" s="19" t="n">
        <v>8</v>
      </c>
      <c r="I30" s="20" t="n">
        <v>850</v>
      </c>
    </row>
    <row r="31">
      <c r="B31" s="16" t="inlineStr">
        <is>
          <t>rgb</t>
        </is>
      </c>
      <c r="C31" s="17" t="inlineStr">
        <is>
          <t>RGB Dynamic / 炫彩</t>
        </is>
      </c>
      <c r="D31" s="18" t="n">
        <v>1.3</v>
      </c>
      <c r="F31" s="17" t="inlineStr">
        <is>
          <t>zn / 镀锌板</t>
        </is>
      </c>
      <c r="G31" s="19" t="n">
        <v>4.5</v>
      </c>
      <c r="H31" s="19" t="n">
        <v>5.5</v>
      </c>
      <c r="I31" s="20" t="n">
        <v>600</v>
      </c>
    </row>
    <row r="32">
      <c r="B32" s="16" t="inlineStr">
        <is>
          <t>neon</t>
        </is>
      </c>
      <c r="C32" s="17" t="inlineStr">
        <is>
          <t>LED Neon / 霓虹灯</t>
        </is>
      </c>
      <c r="D32" s="18" t="n">
        <v>0.9</v>
      </c>
      <c r="F32" s="17" t="inlineStr">
        <is>
          <t>ti_gold / 钛金</t>
        </is>
      </c>
      <c r="G32" s="19" t="n">
        <v>9</v>
      </c>
      <c r="H32" s="19" t="n">
        <v>10</v>
      </c>
      <c r="I32" s="20" t="n">
        <v>1000</v>
      </c>
    </row>
    <row r="33">
      <c r="B33" s="16" t="inlineStr">
        <is>
          <t>mini</t>
        </is>
      </c>
      <c r="C33" s="17" t="inlineStr">
        <is>
          <t>Mini LED / 迷你</t>
        </is>
      </c>
      <c r="D33" s="18" t="n">
        <v>0.8</v>
      </c>
    </row>
    <row r="34">
      <c r="B34" s="16" t="inlineStr">
        <is>
          <t>metal</t>
        </is>
      </c>
      <c r="C34" s="17" t="inlineStr">
        <is>
          <t>Solid Metal / 金属字</t>
        </is>
      </c>
      <c r="D34" s="18" t="n">
        <v>0.6</v>
      </c>
    </row>
    <row r="35">
      <c r="B35" s="16" t="inlineStr">
        <is>
          <t>flat</t>
        </is>
      </c>
      <c r="C35" s="17" t="inlineStr">
        <is>
          <t>Flat Letter / 平面字</t>
        </is>
      </c>
      <c r="D35" s="18" t="n">
        <v>0.55</v>
      </c>
    </row>
    <row r="38">
      <c r="A38" s="2" t="inlineStr">
        <is>
          <t>&gt;&gt; NOTES / 说明</t>
        </is>
      </c>
    </row>
    <row r="39">
      <c r="A39" s="6" t="inlineStr">
        <is>
          <t>1. Yellow input cells (B4-B10): change these and results update automatically</t>
        </is>
      </c>
    </row>
    <row r="40">
      <c r="A40" s="6" t="inlineStr">
        <is>
          <t>2. This is a simplified version. Full version includes electroplating, crate, power supply, accessories.</t>
        </is>
      </c>
    </row>
    <row r="41">
      <c r="A41" s="6" t="inlineStr">
        <is>
          <t>3. Base price formula assumes ss304 material pricing. For other materials, adjust manually.</t>
        </is>
      </c>
    </row>
    <row r="42">
      <c r="A42" s="6" t="inlineStr">
        <is>
          <t>4. Formula: Final Price = [Base × Coeff + Service 10%] × (1 + Markup%)</t>
        </is>
      </c>
    </row>
  </sheetData>
  <mergeCells count="9">
    <mergeCell ref="A1:D1"/>
    <mergeCell ref="A40:D40"/>
    <mergeCell ref="A12:D12"/>
    <mergeCell ref="A3:D3"/>
    <mergeCell ref="A38:D38"/>
    <mergeCell ref="A39:D39"/>
    <mergeCell ref="A41:D41"/>
    <mergeCell ref="A19:D19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2026-06-23T15:34:57Z</dcterms:created>
  <dcterms:modified xmlns:dcterms="http://purl.org/dc/terms/" xmlns:xsi="http://www.w3.org/2001/XMLSchema-instance" xsi:type="dcterms:W3CDTF">2026-06-23T15:34:57Z</dcterms:modified>
</cp:coreProperties>
</file>