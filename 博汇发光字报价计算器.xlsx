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字典" sheetId="1" state="visible" r:id="rId1"/>
    <sheet xmlns:r="http://schemas.openxmlformats.org/officeDocument/2006/relationships" name="报价计算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"/>
  </numFmts>
  <fonts count="11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1"/>
    </font>
    <font>
      <name val="微软雅黑"/>
      <b val="1"/>
      <color rgb="001a237e"/>
      <sz val="14"/>
    </font>
    <font>
      <name val="微软雅黑"/>
      <b val="1"/>
      <sz val="10"/>
    </font>
    <font>
      <name val="微软雅黑"/>
      <color rgb="00616161"/>
      <sz val="9"/>
    </font>
    <font>
      <name val="微软雅黑"/>
      <b val="1"/>
      <color rgb="001a237e"/>
      <sz val="12"/>
    </font>
    <font>
      <name val="微软雅黑"/>
      <b val="1"/>
      <color rgb="00c62828"/>
      <sz val="12"/>
    </font>
    <font>
      <name val="微软雅黑"/>
      <b val="1"/>
      <color rgb="00c62828"/>
      <sz val="11"/>
    </font>
    <font>
      <name val="微软雅黑"/>
      <b val="1"/>
      <color rgb="00c62828"/>
      <sz val="14"/>
    </font>
    <font>
      <name val="微软雅黑"/>
      <b val="1"/>
      <sz val="11"/>
    </font>
  </fonts>
  <fills count="8">
    <fill>
      <patternFill/>
    </fill>
    <fill>
      <patternFill patternType="gray125"/>
    </fill>
    <fill>
      <patternFill patternType="solid">
        <fgColor rgb="001a237e"/>
        <bgColor rgb="001a237e"/>
      </patternFill>
    </fill>
    <fill>
      <patternFill patternType="solid">
        <fgColor rgb="00e8eaf6"/>
        <bgColor rgb="00e8eaf6"/>
      </patternFill>
    </fill>
    <fill>
      <patternFill patternType="solid">
        <fgColor rgb="00d4af37"/>
        <bgColor rgb="00d4af37"/>
      </patternFill>
    </fill>
    <fill>
      <patternFill patternType="solid">
        <fgColor rgb="00fff9c4"/>
        <bgColor rgb="00fff9c4"/>
      </patternFill>
    </fill>
    <fill>
      <patternFill patternType="solid">
        <fgColor rgb="00e8f5e9"/>
        <bgColor rgb="00e8f5e9"/>
      </patternFill>
    </fill>
    <fill>
      <patternFill patternType="solid">
        <fgColor rgb="00ffebee"/>
        <bgColor rgb="00ffeb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4" fontId="2" fillId="3" borderId="1" applyAlignment="1" pivotButton="0" quotePrefix="0" xfId="0">
      <alignment horizontal="center" vertical="center" wrapText="1"/>
    </xf>
    <xf numFmtId="4" fontId="2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3" fontId="2" fillId="5" borderId="1" applyAlignment="1" pivotButton="0" quotePrefix="0" xfId="0">
      <alignment horizontal="center" vertical="center" wrapText="1"/>
    </xf>
    <xf numFmtId="2" fontId="2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3" fontId="2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164" fontId="2" fillId="6" borderId="1" applyAlignment="1" pivotButton="0" quotePrefix="0" xfId="0">
      <alignment horizontal="center" vertical="center" wrapText="1"/>
    </xf>
    <xf numFmtId="165" fontId="2" fillId="6" borderId="1" applyAlignment="1" pivotButton="0" quotePrefix="0" xfId="0">
      <alignment horizontal="center" vertical="center" wrapText="1"/>
    </xf>
    <xf numFmtId="4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4" fontId="2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4" fontId="9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26" customWidth="1" min="3" max="3"/>
    <col width="12" customWidth="1" min="4" max="4"/>
    <col width="16" customWidth="1" min="5" max="5"/>
    <col width="16" customWidth="1" min="6" max="6"/>
    <col width="16" customWidth="1" min="7" max="7"/>
    <col width="22" customWidth="1" min="8" max="8"/>
  </cols>
  <sheetData>
    <row r="1">
      <c r="A1" s="1" t="inlineStr">
        <is>
          <t>编码</t>
        </is>
      </c>
      <c r="B1" s="1" t="inlineStr">
        <is>
          <t>中文名</t>
        </is>
      </c>
      <c r="C1" s="1" t="inlineStr">
        <is>
          <t>英文名</t>
        </is>
      </c>
      <c r="D1" s="1" t="inlineStr">
        <is>
          <t>定价系数</t>
        </is>
      </c>
      <c r="E1" s="1" t="inlineStr">
        <is>
          <t>含亚克力</t>
        </is>
      </c>
      <c r="F1" s="1" t="inlineStr">
        <is>
          <t>需电源</t>
        </is>
      </c>
      <c r="G1" s="1" t="inlineStr">
        <is>
          <t>RGB</t>
        </is>
      </c>
    </row>
    <row r="2">
      <c r="A2" s="2" t="inlineStr">
        <is>
          <t>front</t>
        </is>
      </c>
      <c r="B2" s="2" t="inlineStr">
        <is>
          <t>正面发光字</t>
        </is>
      </c>
      <c r="C2" s="2" t="inlineStr">
        <is>
          <t>Front Lit</t>
        </is>
      </c>
      <c r="D2" s="2" t="n">
        <v>1</v>
      </c>
      <c r="E2" s="2" t="inlineStr">
        <is>
          <t>是</t>
        </is>
      </c>
      <c r="F2" s="2" t="inlineStr">
        <is>
          <t>是</t>
        </is>
      </c>
      <c r="G2" s="2" t="inlineStr">
        <is>
          <t>否</t>
        </is>
      </c>
    </row>
    <row r="3">
      <c r="A3" s="3" t="inlineStr">
        <is>
          <t>back</t>
        </is>
      </c>
      <c r="B3" s="3" t="inlineStr">
        <is>
          <t>背面发光字</t>
        </is>
      </c>
      <c r="C3" s="3" t="inlineStr">
        <is>
          <t>Halo Backlit</t>
        </is>
      </c>
      <c r="D3" s="3" t="n">
        <v>1.1</v>
      </c>
      <c r="E3" s="3" t="inlineStr">
        <is>
          <t>是</t>
        </is>
      </c>
      <c r="F3" s="3" t="inlineStr">
        <is>
          <t>是</t>
        </is>
      </c>
      <c r="G3" s="3" t="inlineStr">
        <is>
          <t>否</t>
        </is>
      </c>
    </row>
    <row r="4">
      <c r="A4" s="2" t="inlineStr">
        <is>
          <t>double</t>
        </is>
      </c>
      <c r="B4" s="2" t="inlineStr">
        <is>
          <t>双面发光字</t>
        </is>
      </c>
      <c r="C4" s="2" t="inlineStr">
        <is>
          <t>Dual Lit</t>
        </is>
      </c>
      <c r="D4" s="2" t="n">
        <v>1.2</v>
      </c>
      <c r="E4" s="2" t="inlineStr">
        <is>
          <t>是</t>
        </is>
      </c>
      <c r="F4" s="2" t="inlineStr">
        <is>
          <t>是</t>
        </is>
      </c>
      <c r="G4" s="2" t="inlineStr">
        <is>
          <t>否</t>
        </is>
      </c>
    </row>
    <row r="5">
      <c r="A5" s="3" t="inlineStr">
        <is>
          <t>bottom</t>
        </is>
      </c>
      <c r="B5" s="3" t="inlineStr">
        <is>
          <t>底部发光字</t>
        </is>
      </c>
      <c r="C5" s="3" t="inlineStr">
        <is>
          <t>Bottom Lit</t>
        </is>
      </c>
      <c r="D5" s="3" t="n">
        <v>1.15</v>
      </c>
      <c r="E5" s="3" t="inlineStr">
        <is>
          <t>否</t>
        </is>
      </c>
      <c r="F5" s="3" t="inlineStr">
        <is>
          <t>是</t>
        </is>
      </c>
      <c r="G5" s="3" t="inlineStr">
        <is>
          <t>否</t>
        </is>
      </c>
    </row>
    <row r="6">
      <c r="A6" s="2" t="inlineStr">
        <is>
          <t>korean</t>
        </is>
      </c>
      <c r="B6" s="2" t="inlineStr">
        <is>
          <t>韩式发光字</t>
        </is>
      </c>
      <c r="C6" s="2" t="inlineStr">
        <is>
          <t>Korean Style</t>
        </is>
      </c>
      <c r="D6" s="2" t="n">
        <v>1.15</v>
      </c>
      <c r="E6" s="2" t="inlineStr">
        <is>
          <t>是</t>
        </is>
      </c>
      <c r="F6" s="2" t="inlineStr">
        <is>
          <t>是</t>
        </is>
      </c>
      <c r="G6" s="2" t="inlineStr">
        <is>
          <t>否</t>
        </is>
      </c>
    </row>
    <row r="7">
      <c r="A7" s="3" t="inlineStr">
        <is>
          <t>rgb</t>
        </is>
      </c>
      <c r="B7" s="3" t="inlineStr">
        <is>
          <t>RGB绚彩动态字</t>
        </is>
      </c>
      <c r="C7" s="3" t="inlineStr">
        <is>
          <t>RGB Dynamic</t>
        </is>
      </c>
      <c r="D7" s="3" t="n">
        <v>1.3</v>
      </c>
      <c r="E7" s="3" t="inlineStr">
        <is>
          <t>是</t>
        </is>
      </c>
      <c r="F7" s="3" t="inlineStr">
        <is>
          <t>是</t>
        </is>
      </c>
      <c r="G7" s="3" t="inlineStr">
        <is>
          <t>是</t>
        </is>
      </c>
    </row>
    <row r="8">
      <c r="A8" s="2" t="inlineStr">
        <is>
          <t>neon</t>
        </is>
      </c>
      <c r="B8" s="2" t="inlineStr">
        <is>
          <t>LED霓虹灯字</t>
        </is>
      </c>
      <c r="C8" s="2" t="inlineStr">
        <is>
          <t>LED Neon</t>
        </is>
      </c>
      <c r="D8" s="2" t="n">
        <v>0.9</v>
      </c>
      <c r="E8" s="2" t="inlineStr">
        <is>
          <t>否</t>
        </is>
      </c>
      <c r="F8" s="2" t="inlineStr">
        <is>
          <t>是</t>
        </is>
      </c>
      <c r="G8" s="2" t="inlineStr">
        <is>
          <t>否</t>
        </is>
      </c>
    </row>
    <row r="9">
      <c r="A9" s="3" t="inlineStr">
        <is>
          <t>mini</t>
        </is>
      </c>
      <c r="B9" s="3" t="inlineStr">
        <is>
          <t>迷你发光字</t>
        </is>
      </c>
      <c r="C9" s="3" t="inlineStr">
        <is>
          <t>Mini LED</t>
        </is>
      </c>
      <c r="D9" s="3" t="n">
        <v>0.8</v>
      </c>
      <c r="E9" s="3" t="inlineStr">
        <is>
          <t>否</t>
        </is>
      </c>
      <c r="F9" s="3" t="inlineStr">
        <is>
          <t>是</t>
        </is>
      </c>
      <c r="G9" s="3" t="inlineStr">
        <is>
          <t>否</t>
        </is>
      </c>
    </row>
    <row r="10">
      <c r="A10" s="2" t="inlineStr">
        <is>
          <t>metal</t>
        </is>
      </c>
      <c r="B10" s="2" t="inlineStr">
        <is>
          <t>金属字(无灯)</t>
        </is>
      </c>
      <c r="C10" s="2" t="inlineStr">
        <is>
          <t>Solid Metal</t>
        </is>
      </c>
      <c r="D10" s="2" t="n">
        <v>0.6</v>
      </c>
      <c r="E10" s="2" t="inlineStr">
        <is>
          <t>否</t>
        </is>
      </c>
      <c r="F10" s="2" t="inlineStr">
        <is>
          <t>否</t>
        </is>
      </c>
      <c r="G10" s="2" t="inlineStr">
        <is>
          <t>否</t>
        </is>
      </c>
    </row>
    <row r="11">
      <c r="A11" s="3" t="inlineStr">
        <is>
          <t>acrylic</t>
        </is>
      </c>
      <c r="B11" s="3" t="inlineStr">
        <is>
          <t>亚克力展示品</t>
        </is>
      </c>
      <c r="C11" s="3" t="inlineStr">
        <is>
          <t>Acrylic Display</t>
        </is>
      </c>
      <c r="D11" s="3" t="n">
        <v>0.7</v>
      </c>
      <c r="E11" s="3" t="inlineStr">
        <is>
          <t>否</t>
        </is>
      </c>
      <c r="F11" s="3" t="inlineStr">
        <is>
          <t>否</t>
        </is>
      </c>
      <c r="G11" s="3" t="inlineStr">
        <is>
          <t>否</t>
        </is>
      </c>
    </row>
    <row r="12">
      <c r="A12" s="2" t="inlineStr">
        <is>
          <t>flat</t>
        </is>
      </c>
      <c r="B12" s="2" t="inlineStr">
        <is>
          <t>平雕字(无灯)</t>
        </is>
      </c>
      <c r="C12" s="2" t="inlineStr">
        <is>
          <t>Flat Letter</t>
        </is>
      </c>
      <c r="D12" s="2" t="n">
        <v>0.55</v>
      </c>
      <c r="E12" s="2" t="inlineStr">
        <is>
          <t>否</t>
        </is>
      </c>
      <c r="F12" s="2" t="inlineStr">
        <is>
          <t>否</t>
        </is>
      </c>
      <c r="G12" s="2" t="inlineStr">
        <is>
          <t>否</t>
        </is>
      </c>
    </row>
    <row r="15">
      <c r="A15" s="4" t="inlineStr">
        <is>
          <t>材质单价表</t>
        </is>
      </c>
    </row>
    <row r="16">
      <c r="A16" s="1" t="inlineStr">
        <is>
          <t>编码</t>
        </is>
      </c>
      <c r="B16" s="1" t="inlineStr">
        <is>
          <t>中文名</t>
        </is>
      </c>
      <c r="C16" s="1" t="inlineStr">
        <is>
          <t>英文名</t>
        </is>
      </c>
      <c r="D16" s="1" t="inlineStr">
        <is>
          <t>类型</t>
        </is>
      </c>
      <c r="E16" s="1" t="inlineStr">
        <is>
          <t>30-59cm
(元/cm)</t>
        </is>
      </c>
      <c r="F16" s="1" t="inlineStr">
        <is>
          <t>60-99cm
(元/cm)</t>
        </is>
      </c>
      <c r="G16" s="1" t="inlineStr">
        <is>
          <t>≥100cm
(元/㎡)</t>
        </is>
      </c>
      <c r="H16" s="1" t="inlineStr">
        <is>
          <t>可电镀颜色</t>
        </is>
      </c>
    </row>
    <row r="17">
      <c r="A17" s="2" t="inlineStr">
        <is>
          <t>ss201</t>
        </is>
      </c>
      <c r="B17" s="2" t="inlineStr">
        <is>
          <t>201不锈钢</t>
        </is>
      </c>
      <c r="C17" s="2" t="inlineStr">
        <is>
          <t>201 Stainless Steel</t>
        </is>
      </c>
      <c r="D17" s="2" t="inlineStr">
        <is>
          <t>不锈钢</t>
        </is>
      </c>
      <c r="E17" s="5" t="n">
        <v>5</v>
      </c>
      <c r="F17" s="5" t="n">
        <v>6</v>
      </c>
      <c r="G17" s="5" t="n">
        <v>650</v>
      </c>
      <c r="H17" s="2" t="inlineStr">
        <is>
          <t>钛金/玫瑰金/古铜/枪黑/青古铜</t>
        </is>
      </c>
    </row>
    <row r="18">
      <c r="A18" s="3" t="inlineStr">
        <is>
          <t>ss304</t>
        </is>
      </c>
      <c r="B18" s="3" t="inlineStr">
        <is>
          <t>304不锈钢</t>
        </is>
      </c>
      <c r="C18" s="3" t="inlineStr">
        <is>
          <t>304 Stainless Steel</t>
        </is>
      </c>
      <c r="D18" s="3" t="inlineStr">
        <is>
          <t>不锈钢</t>
        </is>
      </c>
      <c r="E18" s="6" t="n">
        <v>6</v>
      </c>
      <c r="F18" s="6" t="n">
        <v>7</v>
      </c>
      <c r="G18" s="6" t="n">
        <v>750</v>
      </c>
      <c r="H18" s="3" t="inlineStr">
        <is>
          <t>钛金/玫瑰金/古铜/枪黑/青古铜</t>
        </is>
      </c>
    </row>
    <row r="19">
      <c r="A19" s="2" t="inlineStr">
        <is>
          <t>ss316</t>
        </is>
      </c>
      <c r="B19" s="2" t="inlineStr">
        <is>
          <t>316不锈钢</t>
        </is>
      </c>
      <c r="C19" s="2" t="inlineStr">
        <is>
          <t>316 Stainless Steel</t>
        </is>
      </c>
      <c r="D19" s="2" t="inlineStr">
        <is>
          <t>不锈钢</t>
        </is>
      </c>
      <c r="E19" s="5" t="n">
        <v>7</v>
      </c>
      <c r="F19" s="5" t="n">
        <v>8</v>
      </c>
      <c r="G19" s="5" t="n">
        <v>850</v>
      </c>
      <c r="H19" s="2" t="inlineStr">
        <is>
          <t>无</t>
        </is>
      </c>
    </row>
    <row r="20">
      <c r="A20" s="3" t="inlineStr">
        <is>
          <t>zn</t>
        </is>
      </c>
      <c r="B20" s="3" t="inlineStr">
        <is>
          <t>镀锌板</t>
        </is>
      </c>
      <c r="C20" s="3" t="inlineStr">
        <is>
          <t>Galvanized Steel</t>
        </is>
      </c>
      <c r="D20" s="3" t="inlineStr">
        <is>
          <t>铁类</t>
        </is>
      </c>
      <c r="E20" s="6" t="n">
        <v>4.5</v>
      </c>
      <c r="F20" s="6" t="n">
        <v>5.5</v>
      </c>
      <c r="G20" s="6" t="n">
        <v>600</v>
      </c>
      <c r="H20" s="3" t="inlineStr">
        <is>
          <t>无</t>
        </is>
      </c>
    </row>
    <row r="21">
      <c r="A21" s="2" t="inlineStr">
        <is>
          <t>zn_paint</t>
        </is>
      </c>
      <c r="B21" s="2" t="inlineStr">
        <is>
          <t>镀锌板烤漆</t>
        </is>
      </c>
      <c r="C21" s="2" t="inlineStr">
        <is>
          <t>Painted Galvanized</t>
        </is>
      </c>
      <c r="D21" s="2" t="inlineStr">
        <is>
          <t>铁类</t>
        </is>
      </c>
      <c r="E21" s="5" t="n">
        <v>5</v>
      </c>
      <c r="F21" s="5" t="n">
        <v>6</v>
      </c>
      <c r="G21" s="5" t="n">
        <v>650</v>
      </c>
      <c r="H21" s="2" t="inlineStr">
        <is>
          <t>无</t>
        </is>
      </c>
    </row>
    <row r="22">
      <c r="A22" s="3" t="inlineStr">
        <is>
          <t>ti_gold</t>
        </is>
      </c>
      <c r="B22" s="3" t="inlineStr">
        <is>
          <t>钛金板</t>
        </is>
      </c>
      <c r="C22" s="3" t="inlineStr">
        <is>
          <t>Titanium Gold</t>
        </is>
      </c>
      <c r="D22" s="3" t="inlineStr">
        <is>
          <t>电镀类</t>
        </is>
      </c>
      <c r="E22" s="6" t="n">
        <v>9</v>
      </c>
      <c r="F22" s="6" t="n">
        <v>10</v>
      </c>
      <c r="G22" s="6" t="n">
        <v>1000</v>
      </c>
      <c r="H22" s="3" t="inlineStr">
        <is>
          <t>无(电镀色)</t>
        </is>
      </c>
    </row>
    <row r="23">
      <c r="A23" s="2" t="inlineStr">
        <is>
          <t>rose_gold</t>
        </is>
      </c>
      <c r="B23" s="2" t="inlineStr">
        <is>
          <t>玫瑰金板</t>
        </is>
      </c>
      <c r="C23" s="2" t="inlineStr">
        <is>
          <t>Rose Gold</t>
        </is>
      </c>
      <c r="D23" s="2" t="inlineStr">
        <is>
          <t>电镀类</t>
        </is>
      </c>
      <c r="E23" s="5" t="n">
        <v>9</v>
      </c>
      <c r="F23" s="5" t="n">
        <v>10</v>
      </c>
      <c r="G23" s="5" t="n">
        <v>1000</v>
      </c>
      <c r="H23" s="2" t="inlineStr">
        <is>
          <t>无(电镀色)</t>
        </is>
      </c>
    </row>
    <row r="24">
      <c r="A24" s="3" t="inlineStr">
        <is>
          <t>antique_bz</t>
        </is>
      </c>
      <c r="B24" s="3" t="inlineStr">
        <is>
          <t>古铜板</t>
        </is>
      </c>
      <c r="C24" s="3" t="inlineStr">
        <is>
          <t>Antique Bronze</t>
        </is>
      </c>
      <c r="D24" s="3" t="inlineStr">
        <is>
          <t>电镀类</t>
        </is>
      </c>
      <c r="E24" s="6" t="n">
        <v>8.5</v>
      </c>
      <c r="F24" s="6" t="n">
        <v>9.5</v>
      </c>
      <c r="G24" s="6" t="n">
        <v>950</v>
      </c>
      <c r="H24" s="3" t="inlineStr">
        <is>
          <t>无(电镀色)</t>
        </is>
      </c>
    </row>
    <row r="25">
      <c r="A25" s="2" t="inlineStr">
        <is>
          <t>gun_black</t>
        </is>
      </c>
      <c r="B25" s="2" t="inlineStr">
        <is>
          <t>枪黑板</t>
        </is>
      </c>
      <c r="C25" s="2" t="inlineStr">
        <is>
          <t>Gun Black</t>
        </is>
      </c>
      <c r="D25" s="2" t="inlineStr">
        <is>
          <t>电镀类</t>
        </is>
      </c>
      <c r="E25" s="5" t="n">
        <v>8.5</v>
      </c>
      <c r="F25" s="5" t="n">
        <v>9.5</v>
      </c>
      <c r="G25" s="5" t="n">
        <v>950</v>
      </c>
      <c r="H25" s="2" t="inlineStr">
        <is>
          <t>无(电镀色)</t>
        </is>
      </c>
    </row>
    <row r="26">
      <c r="A26" s="3" t="inlineStr">
        <is>
          <t>green_bz</t>
        </is>
      </c>
      <c r="B26" s="3" t="inlineStr">
        <is>
          <t>青古铜板</t>
        </is>
      </c>
      <c r="C26" s="3" t="inlineStr">
        <is>
          <t>Green Bronze</t>
        </is>
      </c>
      <c r="D26" s="3" t="inlineStr">
        <is>
          <t>电镀类</t>
        </is>
      </c>
      <c r="E26" s="6" t="n">
        <v>9</v>
      </c>
      <c r="F26" s="6" t="n">
        <v>10</v>
      </c>
      <c r="G26" s="6" t="n">
        <v>1000</v>
      </c>
      <c r="H26" s="3" t="inlineStr">
        <is>
          <t>无(电镀色)</t>
        </is>
      </c>
    </row>
    <row r="29">
      <c r="A29" s="4" t="inlineStr">
        <is>
          <t>LED色温表</t>
        </is>
      </c>
    </row>
    <row r="30">
      <c r="A30" s="1" t="inlineStr">
        <is>
          <t>序号</t>
        </is>
      </c>
      <c r="B30" s="1" t="inlineStr">
        <is>
          <t>色温</t>
        </is>
      </c>
      <c r="C30" s="1" t="inlineStr">
        <is>
          <t>色温(K)</t>
        </is>
      </c>
      <c r="D30" s="1" t="inlineStr">
        <is>
          <t>适合场景</t>
        </is>
      </c>
    </row>
    <row r="31">
      <c r="A31" s="2" t="n">
        <v>1</v>
      </c>
      <c r="B31" s="2" t="inlineStr">
        <is>
          <t>暖白</t>
        </is>
      </c>
      <c r="C31" s="2" t="inlineStr">
        <is>
          <t>3000K</t>
        </is>
      </c>
      <c r="D31" s="2" t="inlineStr">
        <is>
          <t>室内/餐厅/温馨氛围</t>
        </is>
      </c>
    </row>
    <row r="32">
      <c r="A32" s="3" t="n">
        <v>2</v>
      </c>
      <c r="B32" s="3" t="inlineStr">
        <is>
          <t>自然白</t>
        </is>
      </c>
      <c r="C32" s="3" t="inlineStr">
        <is>
          <t>4000K</t>
        </is>
      </c>
      <c r="D32" s="3" t="inlineStr">
        <is>
          <t>通用/办公室/商业空间</t>
        </is>
      </c>
    </row>
    <row r="33">
      <c r="A33" s="2" t="n">
        <v>3</v>
      </c>
      <c r="B33" s="2" t="inlineStr">
        <is>
          <t>冷白</t>
        </is>
      </c>
      <c r="C33" s="2" t="inlineStr">
        <is>
          <t>6000K</t>
        </is>
      </c>
      <c r="D33" s="2" t="inlineStr">
        <is>
          <t>户外/工厂/明亮效果</t>
        </is>
      </c>
    </row>
    <row r="34">
      <c r="A34" s="3" t="n">
        <v>4</v>
      </c>
      <c r="B34" s="3" t="inlineStr">
        <is>
          <t>正白光</t>
        </is>
      </c>
      <c r="C34" s="3" t="inlineStr">
        <is>
          <t>8000K</t>
        </is>
      </c>
      <c r="D34" s="3" t="inlineStr">
        <is>
          <t>高亮招牌/户外广告</t>
        </is>
      </c>
    </row>
    <row r="35">
      <c r="A35" s="2" t="n">
        <v>5</v>
      </c>
      <c r="B35" s="2" t="inlineStr">
        <is>
          <t>RGB</t>
        </is>
      </c>
      <c r="C35" s="2" t="inlineStr">
        <is>
          <t>全彩</t>
        </is>
      </c>
      <c r="D35" s="2" t="inlineStr">
        <is>
          <t>炫彩动态/节日装饰</t>
        </is>
      </c>
    </row>
    <row r="38">
      <c r="A38" s="4" t="inlineStr">
        <is>
          <t>汇率参数</t>
        </is>
      </c>
    </row>
    <row r="39">
      <c r="A39" s="7" t="inlineStr">
        <is>
          <t>内部汇率</t>
        </is>
      </c>
      <c r="B39" s="8" t="n">
        <v>6.8</v>
      </c>
      <c r="C39" s="9" t="inlineStr">
        <is>
          <t>1 USD = 6.8 CNY</t>
        </is>
      </c>
    </row>
    <row r="40">
      <c r="A40" s="7" t="inlineStr">
        <is>
          <t>客户汇率(默认)</t>
        </is>
      </c>
      <c r="B40" s="8" t="n">
        <v>6.6</v>
      </c>
      <c r="C40" s="9" t="inlineStr">
        <is>
          <t>1 USD = 6.6 CNY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5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0" t="inlineStr">
        <is>
          <t>博汇 GLOWFORGE 发光字报价计算器</t>
        </is>
      </c>
      <c r="B1" s="11" t="n"/>
      <c r="C1" s="11" t="n"/>
      <c r="D1" s="11" t="n"/>
      <c r="E1" s="11" t="n"/>
      <c r="F1" s="11" t="n"/>
      <c r="G1" s="11" t="n"/>
      <c r="H1" s="11" t="n"/>
    </row>
    <row r="3">
      <c r="A3" s="12">
        <f>== 输入参数 ===</f>
        <v/>
      </c>
      <c r="B3" s="13" t="n"/>
      <c r="C3" s="13" t="n"/>
      <c r="D3" s="13" t="n"/>
      <c r="E3" s="13" t="n"/>
      <c r="F3" s="13" t="n"/>
      <c r="G3" s="13" t="n"/>
      <c r="H3" s="13" t="n"/>
    </row>
    <row r="5">
      <c r="A5" s="14" t="inlineStr">
        <is>
          <t>产品类型</t>
        </is>
      </c>
      <c r="B5" s="15" t="inlineStr">
        <is>
          <t>正面发光字</t>
        </is>
      </c>
      <c r="C5" s="9" t="inlineStr">
        <is>
          <t>从下拉菜单选择</t>
        </is>
      </c>
      <c r="D5" s="16" t="n"/>
      <c r="E5" s="16" t="n"/>
      <c r="F5" s="16" t="n"/>
      <c r="G5" s="16" t="n"/>
      <c r="H5" s="16" t="n"/>
    </row>
    <row r="6">
      <c r="A6" s="14" t="inlineStr">
        <is>
          <t>材质</t>
        </is>
      </c>
      <c r="B6" s="15" t="inlineStr">
        <is>
          <t>304不锈钢</t>
        </is>
      </c>
      <c r="C6" s="9" t="inlineStr">
        <is>
          <t>从下拉菜单选择</t>
        </is>
      </c>
      <c r="D6" s="16" t="n"/>
      <c r="E6" s="16" t="n"/>
      <c r="F6" s="16" t="n"/>
      <c r="G6" s="16" t="n"/>
      <c r="H6" s="16" t="n"/>
    </row>
    <row r="7">
      <c r="A7" s="14" t="inlineStr">
        <is>
          <t>宽度(cm)</t>
        </is>
      </c>
      <c r="B7" s="17" t="n">
        <v>50</v>
      </c>
      <c r="C7" s="9" t="inlineStr">
        <is>
          <t>输入数字</t>
        </is>
      </c>
      <c r="D7" s="16" t="n"/>
      <c r="E7" s="16" t="n"/>
      <c r="F7" s="16" t="n"/>
      <c r="G7" s="16" t="n"/>
      <c r="H7" s="16" t="n"/>
    </row>
    <row r="8">
      <c r="A8" s="14" t="inlineStr">
        <is>
          <t>高度(cm)</t>
        </is>
      </c>
      <c r="B8" s="17" t="n">
        <v>50</v>
      </c>
      <c r="C8" s="9" t="inlineStr">
        <is>
          <t>输入数字</t>
        </is>
      </c>
      <c r="D8" s="16" t="n"/>
      <c r="E8" s="16" t="n"/>
      <c r="F8" s="16" t="n"/>
      <c r="G8" s="16" t="n"/>
      <c r="H8" s="16" t="n"/>
    </row>
    <row r="9">
      <c r="A9" s="14" t="inlineStr">
        <is>
          <t>厚度(cm)</t>
        </is>
      </c>
      <c r="B9" s="17" t="n">
        <v>8</v>
      </c>
      <c r="C9" s="9" t="inlineStr">
        <is>
          <t>输入数字</t>
        </is>
      </c>
      <c r="D9" s="16" t="n"/>
      <c r="E9" s="16" t="n"/>
      <c r="F9" s="16" t="n"/>
      <c r="G9" s="16" t="n"/>
      <c r="H9" s="16" t="n"/>
    </row>
    <row r="10">
      <c r="A10" s="14" t="inlineStr">
        <is>
          <t>数量</t>
        </is>
      </c>
      <c r="B10" s="17" t="n">
        <v>1</v>
      </c>
      <c r="C10" s="9" t="inlineStr">
        <is>
          <t>输入数字</t>
        </is>
      </c>
      <c r="D10" s="16" t="n"/>
      <c r="E10" s="16" t="n"/>
      <c r="F10" s="16" t="n"/>
      <c r="G10" s="16" t="n"/>
      <c r="H10" s="16" t="n"/>
    </row>
    <row r="11">
      <c r="A11" s="14" t="inlineStr">
        <is>
          <t>加价率(%)</t>
        </is>
      </c>
      <c r="B11" s="17" t="n">
        <v>30</v>
      </c>
      <c r="C11" s="9" t="inlineStr">
        <is>
          <t>默认30</t>
        </is>
      </c>
      <c r="D11" s="16" t="n"/>
      <c r="E11" s="16" t="n"/>
      <c r="F11" s="16" t="n"/>
      <c r="G11" s="16" t="n"/>
      <c r="H11" s="16" t="n"/>
    </row>
    <row r="12">
      <c r="A12" s="14" t="inlineStr">
        <is>
          <t>USD汇率</t>
        </is>
      </c>
      <c r="B12" s="18" t="n">
        <v>6.6</v>
      </c>
      <c r="C12" s="9" t="inlineStr">
        <is>
          <t>默认6.6</t>
        </is>
      </c>
      <c r="D12" s="16" t="n"/>
      <c r="E12" s="16" t="n"/>
      <c r="F12" s="16" t="n"/>
      <c r="G12" s="16" t="n"/>
      <c r="H12" s="16" t="n"/>
    </row>
    <row r="14">
      <c r="A14" s="12">
        <f>== 中间计算 ===</f>
        <v/>
      </c>
      <c r="B14" s="13" t="n"/>
      <c r="C14" s="13" t="n"/>
      <c r="D14" s="13" t="n"/>
      <c r="E14" s="13" t="n"/>
      <c r="F14" s="13" t="n"/>
      <c r="G14" s="13" t="n"/>
      <c r="H14" s="13" t="n"/>
    </row>
    <row r="15">
      <c r="A15" s="19" t="inlineStr">
        <is>
          <t>最大边长 maxLen (cm)</t>
        </is>
      </c>
      <c r="B15" s="20">
        <f>MAX(B7,B8)</f>
        <v/>
      </c>
      <c r="C15" s="21" t="n"/>
      <c r="D15" s="21" t="n"/>
      <c r="E15" s="21" t="n"/>
      <c r="F15" s="21" t="n"/>
      <c r="G15" s="21" t="n"/>
      <c r="H15" s="21" t="n"/>
    </row>
    <row r="16">
      <c r="A16" s="19" t="inlineStr">
        <is>
          <t>面积 (㎡)</t>
        </is>
      </c>
      <c r="B16" s="22">
        <f>B7*B8/10000</f>
        <v/>
      </c>
      <c r="C16" s="21" t="n"/>
      <c r="D16" s="21" t="n"/>
      <c r="E16" s="21" t="n"/>
      <c r="F16" s="21" t="n"/>
      <c r="G16" s="21" t="n"/>
      <c r="H16" s="21" t="n"/>
    </row>
    <row r="17">
      <c r="A17" s="19" t="inlineStr">
        <is>
          <t>定价系数</t>
        </is>
      </c>
      <c r="B17" s="23">
        <f>IFERROR(VLOOKUP(B5,'数据字典'!$B$1:$G$12,3,0),1)</f>
        <v/>
      </c>
      <c r="C17" s="21" t="n"/>
      <c r="D17" s="21" t="n"/>
      <c r="E17" s="21" t="n"/>
      <c r="F17" s="21" t="n"/>
      <c r="G17" s="21" t="n"/>
      <c r="H17" s="21" t="n"/>
    </row>
    <row r="18">
      <c r="A18" s="19" t="inlineStr">
        <is>
          <t>cm档单价 (元/cm)</t>
        </is>
      </c>
      <c r="B18" s="24">
        <f>IF(B15&lt;60,VLOOKUP(B6,'数据字典'!$B$16:$H$26,4,0),IF(B15&lt;100,VLOOKUP(B6,'数据字典'!$B$16:$H$26,5,0),0))</f>
        <v/>
      </c>
      <c r="C18" s="21" t="n"/>
      <c r="D18" s="21" t="n"/>
      <c r="E18" s="21" t="n"/>
      <c r="F18" s="21" t="n"/>
      <c r="G18" s="21" t="n"/>
      <c r="H18" s="21" t="n"/>
    </row>
    <row r="19">
      <c r="A19" s="19" t="inlineStr">
        <is>
          <t>㎡档单价 (元/㎡)</t>
        </is>
      </c>
      <c r="B19" s="24">
        <f>VLOOKUP(B6,'数据字典'!$B$16:$H$26,6,0)</f>
        <v/>
      </c>
      <c r="C19" s="21" t="n"/>
      <c r="D19" s="21" t="n"/>
      <c r="E19" s="21" t="n"/>
      <c r="F19" s="21" t="n"/>
      <c r="G19" s="21" t="n"/>
      <c r="H19" s="21" t="n"/>
    </row>
    <row r="20">
      <c r="A20" s="19" t="inlineStr">
        <is>
          <t>是否电镀材质</t>
        </is>
      </c>
      <c r="B20" s="25">
        <f>IF(OR(B6="ti_gold",B6="rose_gold",B6="antique_bz",B6="gun_black",B6="green_bz"),"是","否")</f>
        <v/>
      </c>
      <c r="C20" s="21" t="n"/>
      <c r="D20" s="21" t="n"/>
      <c r="E20" s="21" t="n"/>
      <c r="F20" s="21" t="n"/>
      <c r="G20" s="21" t="n"/>
      <c r="H20" s="21" t="n"/>
    </row>
    <row r="21">
      <c r="A21" s="19" t="inlineStr">
        <is>
          <t>是否需电源</t>
        </is>
      </c>
      <c r="B21" s="25">
        <f>IFERROR(VLOOKUP(B5,'数据字典'!$B$1:$G$12,5,0),"否")</f>
        <v/>
      </c>
      <c r="C21" s="21" t="n"/>
      <c r="D21" s="21" t="n"/>
      <c r="E21" s="21" t="n"/>
      <c r="F21" s="21" t="n"/>
      <c r="G21" s="21" t="n"/>
      <c r="H21" s="21" t="n"/>
    </row>
    <row r="22">
      <c r="A22" s="19" t="inlineStr">
        <is>
          <t>是否RGB</t>
        </is>
      </c>
      <c r="B22" s="25">
        <f>IFERROR(VLOOKUP(B5,'数据字典'!$B$1:$G$12,6,0),"否")</f>
        <v/>
      </c>
      <c r="C22" s="21" t="n"/>
      <c r="D22" s="21" t="n"/>
      <c r="E22" s="21" t="n"/>
      <c r="F22" s="21" t="n"/>
      <c r="G22" s="21" t="n"/>
      <c r="H22" s="21" t="n"/>
    </row>
    <row r="24">
      <c r="A24" s="26">
        <f>== 报价计算结果 ===</f>
        <v/>
      </c>
      <c r="B24" s="13" t="n"/>
      <c r="C24" s="13" t="n"/>
      <c r="D24" s="13" t="n"/>
      <c r="E24" s="13" t="n"/>
      <c r="F24" s="13" t="n"/>
      <c r="G24" s="13" t="n"/>
      <c r="H24" s="13" t="n"/>
    </row>
    <row r="25">
      <c r="A25" s="27" t="inlineStr">
        <is>
          <t>基础价 (元)</t>
        </is>
      </c>
      <c r="B25" s="28">
        <f>IF(B15&lt;100,B15*B18*B10,B16*B19*B10)</f>
        <v/>
      </c>
      <c r="C25" s="9" t="inlineStr">
        <is>
          <t>maxLen&lt;100? maxLen×cm单价×数量 : 面积×㎡单价×数量</t>
        </is>
      </c>
    </row>
    <row r="26">
      <c r="A26" s="29" t="inlineStr">
        <is>
          <t>净价 (元)</t>
        </is>
      </c>
      <c r="B26" s="28">
        <f>B25*B17</f>
        <v/>
      </c>
      <c r="C26" s="9">
        <f> 基础价 × 定价系数</f>
        <v/>
      </c>
    </row>
    <row r="27">
      <c r="A27" s="27" t="inlineStr">
        <is>
          <t>大面积附加费 (元)</t>
        </is>
      </c>
      <c r="B27" s="28">
        <f>IF(AND(B15&gt;=100,B20="否"),B16*100*B10,0)</f>
        <v/>
      </c>
      <c r="C27" s="9" t="inlineStr">
        <is>
          <t>非电镀且maxLen≥100: 面积×100×数量</t>
        </is>
      </c>
    </row>
    <row r="28">
      <c r="A28" s="27" t="inlineStr">
        <is>
          <t>电镀费 (元)</t>
        </is>
      </c>
      <c r="B28" s="28">
        <f>IF(B20="是",IF(B15&lt;100,B15*2.5*B10,B16*250*B10),0)</f>
        <v/>
      </c>
      <c r="C28" s="9" t="inlineStr">
        <is>
          <t>电镀材质: maxLen&lt;100? maxLen×2.5×数量 : 面积×250×数量</t>
        </is>
      </c>
    </row>
    <row r="29">
      <c r="A29" s="27" t="inlineStr">
        <is>
          <t>木箱费 (元)</t>
        </is>
      </c>
      <c r="B29" s="28">
        <f>B16*B9/100*350*B10</f>
        <v/>
      </c>
      <c r="C29" s="9" t="inlineStr">
        <is>
          <t>面积×厚度/100×350×数量 (估算)</t>
        </is>
      </c>
    </row>
    <row r="30">
      <c r="A30" s="27" t="inlineStr">
        <is>
          <t>电源费 (元)</t>
        </is>
      </c>
      <c r="B30" s="28">
        <f>IF(B21="是",IF(AND(B22="是",(B7+B8)*B10/100&lt;3),360,CEILING((B7+B8)/100*2*B10*12*1.15/400,1)*150),0)</f>
        <v/>
      </c>
      <c r="C30" s="9" t="inlineStr">
        <is>
          <t>需电源? RGB小单360套餐/大单按功率: ceil(周长×12W/m×1.15/400)×150</t>
        </is>
      </c>
    </row>
    <row r="31">
      <c r="A31" s="27" t="inlineStr">
        <is>
          <t>配件费 (元)</t>
        </is>
      </c>
      <c r="B31" s="28">
        <f>B10*3+10</f>
        <v/>
      </c>
      <c r="C31" s="9" t="inlineStr">
        <is>
          <t>螺丝(数量×3)+安装模板(10元)</t>
        </is>
      </c>
    </row>
    <row r="32">
      <c r="A32" s="27" t="inlineStr">
        <is>
          <t>服务费 (元)</t>
        </is>
      </c>
      <c r="B32" s="28">
        <f>(B26+B27+B28+B29)*0.1</f>
        <v/>
      </c>
      <c r="C32" s="9" t="inlineStr">
        <is>
          <t>(净价+大面积+电镀+木箱)×10%</t>
        </is>
      </c>
    </row>
    <row r="33">
      <c r="A33" s="29" t="inlineStr">
        <is>
          <t>内部成本总计 (元)</t>
        </is>
      </c>
      <c r="B33" s="28">
        <f>SUM(B25:B32)</f>
        <v/>
      </c>
      <c r="C33" s="9" t="inlineStr">
        <is>
          <t>以上各项之和</t>
        </is>
      </c>
    </row>
    <row r="34">
      <c r="A34" s="30" t="inlineStr">
        <is>
          <t>★ 正式报价 (RMB)</t>
        </is>
      </c>
      <c r="B34" s="31">
        <f>B33*(1+B11/100)</f>
        <v/>
      </c>
      <c r="C34" s="32">
        <f> 内部成本 × (1+加价率)</f>
        <v/>
      </c>
      <c r="D34" s="11" t="n"/>
      <c r="E34" s="11" t="n"/>
      <c r="F34" s="11" t="n"/>
      <c r="G34" s="11" t="n"/>
      <c r="H34" s="11" t="n"/>
    </row>
    <row r="35">
      <c r="A35" s="30" t="inlineStr">
        <is>
          <t>★ 正式报价 (USD)</t>
        </is>
      </c>
      <c r="B35" s="31">
        <f>B34/B12</f>
        <v/>
      </c>
      <c r="C35" s="32">
        <f> RMB报价 ÷ USD汇率</f>
        <v/>
      </c>
      <c r="D35" s="11" t="n"/>
      <c r="E35" s="11" t="n"/>
      <c r="F35" s="11" t="n"/>
      <c r="G35" s="11" t="n"/>
      <c r="H35" s="11" t="n"/>
    </row>
    <row r="37">
      <c r="A37" s="33" t="inlineStr">
        <is>
          <t>使用说明:</t>
        </is>
      </c>
    </row>
    <row r="38">
      <c r="A38" s="9" t="inlineStr">
        <is>
          <t>1. 黄色格子 = 输入参数，可直接修改或从下拉菜单选择</t>
        </is>
      </c>
    </row>
    <row r="39">
      <c r="A39" s="9" t="inlineStr">
        <is>
          <t>2. 绿色格子 = 中间计算，自动生成无需修改</t>
        </is>
      </c>
    </row>
    <row r="40">
      <c r="A40" s="9" t="inlineStr">
        <is>
          <t>3. 红色/金色格子 = 最终报价结果</t>
        </is>
      </c>
    </row>
    <row r="41">
      <c r="A41" s="9" t="inlineStr">
        <is>
          <t>4. 修改任意黄色格子，所有结果自动更新</t>
        </is>
      </c>
    </row>
    <row r="42">
      <c r="A42" s="9" t="inlineStr">
        <is>
          <t>5. 不同产品类型/材质切换，公式自动适配</t>
        </is>
      </c>
    </row>
    <row r="44">
      <c r="A44" s="33" t="inlineStr">
        <is>
          <t>完整公式参考:</t>
        </is>
      </c>
    </row>
    <row r="45">
      <c r="A45" s="9" t="inlineStr">
        <is>
          <t>净价 = maxLen&lt;100 ? maxLen×cm单价×数量×系数 : 面积×㎡单价×数量×系数</t>
        </is>
      </c>
    </row>
    <row r="46">
      <c r="A46" s="9" t="inlineStr">
        <is>
          <t>大面积附加费 = 非电镀材质且maxLen≥100cm ? 面积×100×数量 : 0</t>
        </is>
      </c>
    </row>
    <row r="47">
      <c r="A47" s="9" t="inlineStr">
        <is>
          <t>电镀费 = 电镀材质 ? (maxLen&lt;100 ? maxLen×2.5×数量 : 面积×250×数量) : 0</t>
        </is>
      </c>
    </row>
    <row r="48">
      <c r="A48" s="9" t="inlineStr">
        <is>
          <t>木箱费(估) = 面积×厚度×350/100 × 数量</t>
        </is>
      </c>
    </row>
    <row r="49">
      <c r="A49" s="9" t="inlineStr">
        <is>
          <t>电源费 = 需电源 ? (RGB小单360套餐 : 按功率算) : 0</t>
        </is>
      </c>
    </row>
    <row r="50">
      <c r="A50" s="9" t="inlineStr">
        <is>
          <t>配件费 = 数量×3+10</t>
        </is>
      </c>
    </row>
    <row r="51">
      <c r="A51" s="9" t="inlineStr">
        <is>
          <t>服务费 = (净价+大面积+电镀+木箱) × 10%</t>
        </is>
      </c>
    </row>
    <row r="52">
      <c r="A52" s="9" t="inlineStr">
        <is>
          <t>正式报价(RMB) = (以上各项之和) × (1+加价率)</t>
        </is>
      </c>
    </row>
    <row r="53">
      <c r="A53" s="9" t="inlineStr">
        <is>
          <t>正式报价(USD) = RMB报价 ÷ 汇率</t>
        </is>
      </c>
    </row>
  </sheetData>
  <dataValidations count="2">
    <dataValidation sqref="B5" showDropDown="0" showInputMessage="0" showErrorMessage="0" allowBlank="1" error="请从下拉菜单选择" type="list">
      <formula1>'数据字典'!$B$2:$B$12</formula1>
    </dataValidation>
    <dataValidation sqref="B6" showDropDown="0" showInputMessage="0" showErrorMessage="0" allowBlank="1" error="请从下拉菜单选择" type="list">
      <formula1>'数据字典'!$B$17:$B$26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2026-06-25T01:45:24Z</dcterms:created>
  <dcterms:modified xmlns:dcterms="http://purl.org/dc/terms/" xmlns:xsi="http://www.w3.org/2001/XMLSchema-instance" xsi:type="dcterms:W3CDTF">2026-06-25T01:45:24Z</dcterms:modified>
</cp:coreProperties>
</file>