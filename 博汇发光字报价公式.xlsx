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类型系数" sheetId="1" state="visible" r:id="rId1"/>
    <sheet xmlns:r="http://schemas.openxmlformats.org/officeDocument/2006/relationships" name="材质单价表" sheetId="2" state="visible" r:id="rId2"/>
    <sheet xmlns:r="http://schemas.openxmlformats.org/officeDocument/2006/relationships" name="基础常量" sheetId="3" state="visible" r:id="rId3"/>
    <sheet xmlns:r="http://schemas.openxmlformats.org/officeDocument/2006/relationships" name="报价计算公式" sheetId="4" state="visible" r:id="rId4"/>
    <sheet xmlns:r="http://schemas.openxmlformats.org/officeDocument/2006/relationships" name="木箱体积计算" sheetId="5" state="visible" r:id="rId5"/>
    <sheet xmlns:r="http://schemas.openxmlformats.org/officeDocument/2006/relationships" name="电镀颜色表" sheetId="6" state="visible" r:id="rId6"/>
    <sheet xmlns:r="http://schemas.openxmlformats.org/officeDocument/2006/relationships" name="计算器(公式版)" sheetId="7" state="visible" r:id="rId7"/>
    <sheet xmlns:r="http://schemas.openxmlformats.org/officeDocument/2006/relationships" name="色温表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b val="1"/>
      <sz val="10"/>
    </font>
    <font>
      <i val="1"/>
      <sz val="10"/>
    </font>
    <font>
      <name val="Arial"/>
      <b val="1"/>
      <sz val="10"/>
    </font>
    <font>
      <name val="Arial"/>
      <sz val="10"/>
    </font>
    <font>
      <name val="Arial"/>
      <b val="1"/>
      <color rgb="001a237e"/>
      <sz val="13"/>
    </font>
    <font>
      <name val="Arial"/>
      <b val="1"/>
      <sz val="11"/>
    </font>
    <font>
      <name val="Arial"/>
      <sz val="9"/>
    </font>
    <font>
      <name val="Arial"/>
      <b val="1"/>
      <color rgb="001a237e"/>
      <sz val="14"/>
    </font>
    <font>
      <name val="Arial"/>
      <b val="1"/>
      <color rgb="001a237e"/>
      <sz val="12"/>
    </font>
    <font>
      <name val="Arial"/>
      <color rgb="00616161"/>
      <sz val="9"/>
    </font>
    <font>
      <name val="Arial"/>
      <b val="1"/>
      <color rgb="00000000"/>
      <sz val="11"/>
    </font>
    <font>
      <name val="Arial"/>
      <b val="1"/>
      <color rgb="00d4af37"/>
      <sz val="11"/>
    </font>
  </fonts>
  <fills count="5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e8eaf6"/>
        <bgColor rgb="00e8eaf6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3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9" fillId="0" borderId="0" pivotButton="0" quotePrefix="0" xfId="0"/>
    <xf numFmtId="0" fontId="10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11" fillId="0" borderId="0" pivotButton="0" quotePrefix="0" xfId="0"/>
    <xf numFmtId="0" fontId="12" fillId="0" borderId="1" pivotButton="0" quotePrefix="0" xfId="0"/>
    <xf numFmtId="0" fontId="5" fillId="4" borderId="1" pivotButton="0" quotePrefix="0" xfId="0"/>
    <xf numFmtId="0" fontId="1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8.4" customWidth="1" min="1" max="1"/>
    <col width="20" customWidth="1" min="2" max="2"/>
    <col width="14" customWidth="1" min="3" max="3"/>
    <col width="20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序号</t>
        </is>
      </c>
      <c r="B1" s="1" t="inlineStr">
        <is>
          <t>编码</t>
        </is>
      </c>
      <c r="C1" s="1" t="inlineStr">
        <is>
          <t>产品类型(中文)</t>
        </is>
      </c>
      <c r="D1" s="1" t="inlineStr">
        <is>
          <t>产品类型(English)</t>
        </is>
      </c>
      <c r="E1" s="1" t="inlineStr">
        <is>
          <t>定价系数</t>
        </is>
      </c>
      <c r="F1" s="1" t="inlineStr">
        <is>
          <t>含亚克力</t>
        </is>
      </c>
      <c r="G1" s="1" t="inlineStr">
        <is>
          <t>需电源</t>
        </is>
      </c>
      <c r="H1" s="1" t="inlineStr">
        <is>
          <t>是否RGB</t>
        </is>
      </c>
    </row>
    <row r="2">
      <c r="A2" s="2" t="n">
        <v>1</v>
      </c>
      <c r="B2" s="2" t="inlineStr">
        <is>
          <t>front</t>
        </is>
      </c>
      <c r="C2" s="2" t="inlineStr">
        <is>
          <t>正面发光字</t>
        </is>
      </c>
      <c r="D2" s="2" t="inlineStr">
        <is>
          <t>Front Lit</t>
        </is>
      </c>
      <c r="E2" s="2" t="n">
        <v>1</v>
      </c>
      <c r="F2" s="2" t="inlineStr">
        <is>
          <t>是</t>
        </is>
      </c>
      <c r="G2" s="2" t="inlineStr">
        <is>
          <t>是</t>
        </is>
      </c>
      <c r="H2" s="2" t="inlineStr">
        <is>
          <t>否</t>
        </is>
      </c>
    </row>
    <row r="3">
      <c r="A3" t="n">
        <v>2</v>
      </c>
      <c r="B3" t="inlineStr">
        <is>
          <t>back</t>
        </is>
      </c>
      <c r="C3" t="inlineStr">
        <is>
          <t>背面发光字</t>
        </is>
      </c>
      <c r="D3" t="inlineStr">
        <is>
          <t>Halo Backlit</t>
        </is>
      </c>
      <c r="E3" t="n">
        <v>1.1</v>
      </c>
      <c r="F3" t="inlineStr">
        <is>
          <t>是</t>
        </is>
      </c>
      <c r="G3" t="inlineStr">
        <is>
          <t>是</t>
        </is>
      </c>
      <c r="H3" t="inlineStr">
        <is>
          <t>否</t>
        </is>
      </c>
    </row>
    <row r="4">
      <c r="A4" s="2" t="n">
        <v>3</v>
      </c>
      <c r="B4" s="2" t="inlineStr">
        <is>
          <t>double</t>
        </is>
      </c>
      <c r="C4" s="2" t="inlineStr">
        <is>
          <t>双面发光字</t>
        </is>
      </c>
      <c r="D4" s="2" t="inlineStr">
        <is>
          <t>Dual Lit</t>
        </is>
      </c>
      <c r="E4" s="2" t="n">
        <v>1.2</v>
      </c>
      <c r="F4" s="2" t="inlineStr">
        <is>
          <t>是</t>
        </is>
      </c>
      <c r="G4" s="2" t="inlineStr">
        <is>
          <t>是</t>
        </is>
      </c>
      <c r="H4" s="2" t="inlineStr">
        <is>
          <t>否</t>
        </is>
      </c>
    </row>
    <row r="5">
      <c r="A5" t="n">
        <v>4</v>
      </c>
      <c r="B5" t="inlineStr">
        <is>
          <t>bottom</t>
        </is>
      </c>
      <c r="C5" t="inlineStr">
        <is>
          <t>底部发光字</t>
        </is>
      </c>
      <c r="D5" t="inlineStr">
        <is>
          <t>Bottom Lit</t>
        </is>
      </c>
      <c r="E5" t="n">
        <v>1.15</v>
      </c>
      <c r="F5" t="inlineStr">
        <is>
          <t>否</t>
        </is>
      </c>
      <c r="G5" t="inlineStr">
        <is>
          <t>是</t>
        </is>
      </c>
      <c r="H5" t="inlineStr">
        <is>
          <t>否</t>
        </is>
      </c>
    </row>
    <row r="6">
      <c r="A6" s="2" t="n">
        <v>5</v>
      </c>
      <c r="B6" s="2" t="inlineStr">
        <is>
          <t>rgb</t>
        </is>
      </c>
      <c r="C6" s="2" t="inlineStr">
        <is>
          <t>RGB炫彩动态字</t>
        </is>
      </c>
      <c r="D6" s="2" t="inlineStr">
        <is>
          <t>RGB Dynamic</t>
        </is>
      </c>
      <c r="E6" s="2" t="n">
        <v>1.3</v>
      </c>
      <c r="F6" s="2" t="inlineStr">
        <is>
          <t>否</t>
        </is>
      </c>
      <c r="G6" s="2" t="inlineStr">
        <is>
          <t>是</t>
        </is>
      </c>
      <c r="H6" s="2" t="inlineStr">
        <is>
          <t>是</t>
        </is>
      </c>
    </row>
    <row r="7">
      <c r="A7" t="n">
        <v>6</v>
      </c>
      <c r="B7" t="inlineStr">
        <is>
          <t>neon</t>
        </is>
      </c>
      <c r="C7" t="inlineStr">
        <is>
          <t>LED霓虹灯字</t>
        </is>
      </c>
      <c r="D7" t="inlineStr">
        <is>
          <t>LED Neon</t>
        </is>
      </c>
      <c r="E7" t="n">
        <v>0.9</v>
      </c>
      <c r="F7" t="inlineStr">
        <is>
          <t>否</t>
        </is>
      </c>
      <c r="G7" t="inlineStr">
        <is>
          <t>是</t>
        </is>
      </c>
      <c r="H7" t="inlineStr">
        <is>
          <t>否</t>
        </is>
      </c>
    </row>
    <row r="8">
      <c r="A8" s="2" t="n">
        <v>7</v>
      </c>
      <c r="B8" s="2" t="inlineStr">
        <is>
          <t>mini</t>
        </is>
      </c>
      <c r="C8" s="2" t="inlineStr">
        <is>
          <t>迷你发光字</t>
        </is>
      </c>
      <c r="D8" s="2" t="inlineStr">
        <is>
          <t>Mini LED</t>
        </is>
      </c>
      <c r="E8" s="2" t="n">
        <v>0.8</v>
      </c>
      <c r="F8" s="2" t="inlineStr">
        <is>
          <t>否</t>
        </is>
      </c>
      <c r="G8" s="2" t="inlineStr">
        <is>
          <t>是</t>
        </is>
      </c>
      <c r="H8" s="2" t="inlineStr">
        <is>
          <t>否</t>
        </is>
      </c>
    </row>
    <row r="9">
      <c r="A9" t="n">
        <v>8</v>
      </c>
      <c r="B9" t="inlineStr">
        <is>
          <t>metal</t>
        </is>
      </c>
      <c r="C9" t="inlineStr">
        <is>
          <t>不锈钢金属字(无灯)</t>
        </is>
      </c>
      <c r="D9" t="inlineStr">
        <is>
          <t>Solid Metal</t>
        </is>
      </c>
      <c r="E9" t="n">
        <v>0.6</v>
      </c>
      <c r="F9" t="inlineStr">
        <is>
          <t>否</t>
        </is>
      </c>
      <c r="G9" t="inlineStr">
        <is>
          <t>否</t>
        </is>
      </c>
      <c r="H9" t="inlineStr">
        <is>
          <t>否</t>
        </is>
      </c>
    </row>
    <row r="10">
      <c r="A10" s="2" t="n">
        <v>9</v>
      </c>
      <c r="B10" s="2" t="inlineStr">
        <is>
          <t>acrylic_display</t>
        </is>
      </c>
      <c r="C10" s="2" t="inlineStr">
        <is>
          <t>亚克力展示制品</t>
        </is>
      </c>
      <c r="D10" s="2" t="inlineStr">
        <is>
          <t>Acrylic Display</t>
        </is>
      </c>
      <c r="E10" s="2" t="n">
        <v>0.7</v>
      </c>
      <c r="F10" s="2" t="inlineStr">
        <is>
          <t>是</t>
        </is>
      </c>
      <c r="G10" s="2" t="inlineStr">
        <is>
          <t>否</t>
        </is>
      </c>
      <c r="H10" s="2" t="inlineStr">
        <is>
          <t>否</t>
        </is>
      </c>
    </row>
    <row r="11">
      <c r="A11" t="n">
        <v>10</v>
      </c>
      <c r="B11" t="inlineStr">
        <is>
          <t>flat</t>
        </is>
      </c>
      <c r="C11" t="inlineStr">
        <is>
          <t>平面字(无灯)</t>
        </is>
      </c>
      <c r="D11" t="inlineStr">
        <is>
          <t>Flat Letter</t>
        </is>
      </c>
      <c r="E11" t="n">
        <v>0.55</v>
      </c>
      <c r="F11" t="inlineStr">
        <is>
          <t>否</t>
        </is>
      </c>
      <c r="G11" t="inlineStr">
        <is>
          <t>否</t>
        </is>
      </c>
      <c r="H11" t="inlineStr">
        <is>
          <t>否</t>
        </is>
      </c>
    </row>
    <row r="12">
      <c r="A12" s="3" t="inlineStr">
        <is>
          <t>公式说明：</t>
        </is>
      </c>
    </row>
    <row r="13">
      <c r="A13" s="4" t="inlineStr">
        <is>
          <t>净价 = 基础价 × 产品类型系数</t>
        </is>
      </c>
    </row>
    <row r="14">
      <c r="A14" s="4" t="inlineStr">
        <is>
          <t>基础价计算规则详见「报价计算公式」Sheet</t>
        </is>
      </c>
    </row>
  </sheetData>
  <mergeCells count="2">
    <mergeCell ref="A13:H13"/>
    <mergeCell ref="A14:H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4" customWidth="1" min="1" max="1"/>
    <col width="18.8" customWidth="1" min="2" max="2"/>
    <col width="14" customWidth="1" min="3" max="3"/>
    <col width="24.8" customWidth="1" min="4" max="4"/>
    <col width="14" customWidth="1" min="5" max="5"/>
    <col width="17.6" customWidth="1" min="6" max="6"/>
    <col width="17.6" customWidth="1" min="7" max="7"/>
    <col width="15.2" customWidth="1" min="8" max="8"/>
    <col width="21.2" customWidth="1" min="9" max="9"/>
  </cols>
  <sheetData>
    <row r="1">
      <c r="A1" s="1" t="inlineStr">
        <is>
          <t>序号</t>
        </is>
      </c>
      <c r="B1" s="1" t="inlineStr">
        <is>
          <t>编码</t>
        </is>
      </c>
      <c r="C1" s="1" t="inlineStr">
        <is>
          <t>材质名称(中文)</t>
        </is>
      </c>
      <c r="D1" s="1" t="inlineStr">
        <is>
          <t>材质名称(English)</t>
        </is>
      </c>
      <c r="E1" s="1" t="inlineStr">
        <is>
          <t>类型</t>
        </is>
      </c>
      <c r="F1" s="1" t="inlineStr">
        <is>
          <t>30-59cm(元/cm)</t>
        </is>
      </c>
      <c r="G1" s="1" t="inlineStr">
        <is>
          <t>60-99cm(元/cm)</t>
        </is>
      </c>
      <c r="H1" s="1" t="inlineStr">
        <is>
          <t>≥100cm(元/㎡)</t>
        </is>
      </c>
      <c r="I1" s="1" t="inlineStr">
        <is>
          <t>可电镀颜色</t>
        </is>
      </c>
    </row>
    <row r="2">
      <c r="A2" s="2" t="n">
        <v>1</v>
      </c>
      <c r="B2" s="2" t="inlineStr">
        <is>
          <t>ss201</t>
        </is>
      </c>
      <c r="C2" s="2" t="inlineStr">
        <is>
          <t>201不锈钢</t>
        </is>
      </c>
      <c r="D2" s="2" t="inlineStr">
        <is>
          <t>201 Stainless Steel</t>
        </is>
      </c>
      <c r="E2" s="5" t="inlineStr">
        <is>
          <t>不锈钢</t>
        </is>
      </c>
      <c r="F2" s="5" t="n">
        <v>5</v>
      </c>
      <c r="G2" s="5" t="n">
        <v>6</v>
      </c>
      <c r="H2" s="2" t="n">
        <v>650</v>
      </c>
      <c r="I2" s="2" t="inlineStr">
        <is>
          <t>钛金/玫瑰金/古铜/枪黑/青古铜</t>
        </is>
      </c>
    </row>
    <row r="3">
      <c r="A3" t="n">
        <v>2</v>
      </c>
      <c r="B3" t="inlineStr">
        <is>
          <t>ss304</t>
        </is>
      </c>
      <c r="C3" t="inlineStr">
        <is>
          <t>304不锈钢</t>
        </is>
      </c>
      <c r="D3" t="inlineStr">
        <is>
          <t>304 Stainless Steel</t>
        </is>
      </c>
      <c r="E3" s="6" t="inlineStr">
        <is>
          <t>不锈钢</t>
        </is>
      </c>
      <c r="F3" s="6" t="n">
        <v>6</v>
      </c>
      <c r="G3" s="6" t="n">
        <v>7</v>
      </c>
      <c r="H3" t="n">
        <v>750</v>
      </c>
      <c r="I3" t="inlineStr">
        <is>
          <t>钛金/玫瑰金/古铜/枪黑/青古铜</t>
        </is>
      </c>
    </row>
    <row r="4">
      <c r="A4" s="2" t="n">
        <v>3</v>
      </c>
      <c r="B4" s="2" t="inlineStr">
        <is>
          <t>ss316</t>
        </is>
      </c>
      <c r="C4" s="2" t="inlineStr">
        <is>
          <t>316不锈钢</t>
        </is>
      </c>
      <c r="D4" s="2" t="inlineStr">
        <is>
          <t>316 Stainless Steel</t>
        </is>
      </c>
      <c r="E4" s="5" t="inlineStr">
        <is>
          <t>不锈钢</t>
        </is>
      </c>
      <c r="F4" s="5" t="n">
        <v>7</v>
      </c>
      <c r="G4" s="5" t="n">
        <v>8</v>
      </c>
      <c r="H4" s="2" t="n">
        <v>850</v>
      </c>
      <c r="I4" s="2" t="inlineStr">
        <is>
          <t>无</t>
        </is>
      </c>
    </row>
    <row r="5">
      <c r="A5" t="n">
        <v>4</v>
      </c>
      <c r="B5" t="inlineStr">
        <is>
          <t>zn</t>
        </is>
      </c>
      <c r="C5" t="inlineStr">
        <is>
          <t>镀锌板</t>
        </is>
      </c>
      <c r="D5" t="inlineStr">
        <is>
          <t>Galvanized Steel</t>
        </is>
      </c>
      <c r="E5" s="6" t="inlineStr">
        <is>
          <t>钢铁</t>
        </is>
      </c>
      <c r="F5" s="6" t="n">
        <v>4.5</v>
      </c>
      <c r="G5" s="6" t="n">
        <v>5.5</v>
      </c>
      <c r="H5" t="n">
        <v>600</v>
      </c>
      <c r="I5" t="inlineStr">
        <is>
          <t>无</t>
        </is>
      </c>
    </row>
    <row r="6">
      <c r="A6" s="2" t="n">
        <v>5</v>
      </c>
      <c r="B6" s="2" t="inlineStr">
        <is>
          <t>zn_paint</t>
        </is>
      </c>
      <c r="C6" s="2" t="inlineStr">
        <is>
          <t>镀锌板喷漆</t>
        </is>
      </c>
      <c r="D6" s="2" t="inlineStr">
        <is>
          <t>Painted Galvanized</t>
        </is>
      </c>
      <c r="E6" s="5" t="inlineStr">
        <is>
          <t>钢铁</t>
        </is>
      </c>
      <c r="F6" s="5" t="n">
        <v>5</v>
      </c>
      <c r="G6" s="5" t="n">
        <v>6</v>
      </c>
      <c r="H6" s="2" t="n">
        <v>650</v>
      </c>
      <c r="I6" s="2" t="inlineStr">
        <is>
          <t>无</t>
        </is>
      </c>
    </row>
    <row r="7">
      <c r="A7" t="n">
        <v>6</v>
      </c>
      <c r="B7" t="inlineStr">
        <is>
          <t>ti_gold</t>
        </is>
      </c>
      <c r="C7" t="inlineStr">
        <is>
          <t>钛金电镀</t>
        </is>
      </c>
      <c r="D7" t="inlineStr">
        <is>
          <t>Titanium Gold</t>
        </is>
      </c>
      <c r="E7" s="6" t="inlineStr">
        <is>
          <t>电镀</t>
        </is>
      </c>
      <c r="F7" s="6" t="n">
        <v>9</v>
      </c>
      <c r="G7" s="6" t="n">
        <v>10</v>
      </c>
      <c r="H7" t="n">
        <v>1000</v>
      </c>
      <c r="I7" t="inlineStr">
        <is>
          <t>无(已电镀)</t>
        </is>
      </c>
    </row>
    <row r="8">
      <c r="A8" s="2" t="n">
        <v>7</v>
      </c>
      <c r="B8" s="2" t="inlineStr">
        <is>
          <t>rose_gold</t>
        </is>
      </c>
      <c r="C8" s="2" t="inlineStr">
        <is>
          <t>玫瑰金电镀</t>
        </is>
      </c>
      <c r="D8" s="2" t="inlineStr">
        <is>
          <t>Rose Gold</t>
        </is>
      </c>
      <c r="E8" s="5" t="inlineStr">
        <is>
          <t>电镀</t>
        </is>
      </c>
      <c r="F8" s="5" t="n">
        <v>9</v>
      </c>
      <c r="G8" s="5" t="n">
        <v>10</v>
      </c>
      <c r="H8" s="2" t="n">
        <v>1000</v>
      </c>
      <c r="I8" s="2" t="inlineStr">
        <is>
          <t>无(已电镀)</t>
        </is>
      </c>
    </row>
    <row r="9">
      <c r="A9" t="n">
        <v>8</v>
      </c>
      <c r="B9" t="inlineStr">
        <is>
          <t>antique_bronze</t>
        </is>
      </c>
      <c r="C9" t="inlineStr">
        <is>
          <t>古铜电镀</t>
        </is>
      </c>
      <c r="D9" t="inlineStr">
        <is>
          <t>Antique Bronze</t>
        </is>
      </c>
      <c r="E9" s="6" t="inlineStr">
        <is>
          <t>电镀</t>
        </is>
      </c>
      <c r="F9" s="6" t="n">
        <v>8.5</v>
      </c>
      <c r="G9" s="6" t="n">
        <v>9.5</v>
      </c>
      <c r="H9" t="n">
        <v>950</v>
      </c>
      <c r="I9" t="inlineStr">
        <is>
          <t>无(已电镀)</t>
        </is>
      </c>
    </row>
    <row r="10">
      <c r="A10" s="2" t="n">
        <v>9</v>
      </c>
      <c r="B10" s="2" t="inlineStr">
        <is>
          <t>gun_black</t>
        </is>
      </c>
      <c r="C10" s="2" t="inlineStr">
        <is>
          <t>枪黑电镀</t>
        </is>
      </c>
      <c r="D10" s="2" t="inlineStr">
        <is>
          <t>Gun Black</t>
        </is>
      </c>
      <c r="E10" s="5" t="inlineStr">
        <is>
          <t>电镀</t>
        </is>
      </c>
      <c r="F10" s="5" t="n">
        <v>8.5</v>
      </c>
      <c r="G10" s="5" t="n">
        <v>9.5</v>
      </c>
      <c r="H10" s="2" t="n">
        <v>950</v>
      </c>
      <c r="I10" s="2" t="inlineStr">
        <is>
          <t>无(已电镀)</t>
        </is>
      </c>
    </row>
    <row r="11">
      <c r="A11" t="n">
        <v>10</v>
      </c>
      <c r="B11" t="inlineStr">
        <is>
          <t>green_bronze</t>
        </is>
      </c>
      <c r="C11" t="inlineStr">
        <is>
          <t>青古铜电镀</t>
        </is>
      </c>
      <c r="D11" t="inlineStr">
        <is>
          <t>Green Bronze</t>
        </is>
      </c>
      <c r="E11" s="6" t="inlineStr">
        <is>
          <t>电镀</t>
        </is>
      </c>
      <c r="F11" s="6" t="n">
        <v>9</v>
      </c>
      <c r="G11" s="6" t="n">
        <v>10</v>
      </c>
      <c r="H11" t="n">
        <v>1000</v>
      </c>
      <c r="I11" t="inlineStr">
        <is>
          <t>无(已电镀)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35.6" customWidth="1" min="4" max="4"/>
    <col width="52" customWidth="1" min="5" max="5"/>
  </cols>
  <sheetData>
    <row r="1">
      <c r="A1" s="1" t="inlineStr">
        <is>
          <t>分类</t>
        </is>
      </c>
      <c r="B1" s="1" t="inlineStr">
        <is>
          <t>参数名</t>
        </is>
      </c>
      <c r="C1" s="1" t="inlineStr">
        <is>
          <t>值</t>
        </is>
      </c>
      <c r="D1" s="1" t="inlineStr">
        <is>
          <t>说明(中文)</t>
        </is>
      </c>
      <c r="E1" s="1" t="inlineStr">
        <is>
          <t>说明(English)</t>
        </is>
      </c>
    </row>
    <row r="2">
      <c r="A2" s="7" t="inlineStr">
        <is>
          <t>汇率</t>
        </is>
      </c>
      <c r="B2" s="8" t="n"/>
      <c r="C2" s="5" t="n">
        <v>6.8</v>
      </c>
      <c r="D2" s="9" t="inlineStr">
        <is>
          <t>1 USD = 6.8 CNY</t>
        </is>
      </c>
      <c r="E2" s="9" t="inlineStr">
        <is>
          <t>1 USD = 6.8 CNY (internal rate)</t>
        </is>
      </c>
    </row>
    <row r="3">
      <c r="A3" s="10" t="inlineStr">
        <is>
          <t>木箱</t>
        </is>
      </c>
      <c r="B3" s="11" t="n"/>
      <c r="C3" s="6" t="n">
        <v>350</v>
      </c>
      <c r="D3" s="12" t="inlineStr">
        <is>
          <t>木箱单价(元/m³)</t>
        </is>
      </c>
      <c r="E3" s="12" t="inlineStr">
        <is>
          <t>Plywood crate unit price (CNY/m³)</t>
        </is>
      </c>
    </row>
    <row r="4">
      <c r="A4" s="7" t="inlineStr">
        <is>
          <t>螺丝</t>
        </is>
      </c>
      <c r="B4" s="8" t="n"/>
      <c r="C4" s="5" t="n">
        <v>0.5</v>
      </c>
      <c r="D4" s="9" t="inlineStr">
        <is>
          <t>M4×40mm螺丝单价(元/套)</t>
        </is>
      </c>
      <c r="E4" s="9" t="inlineStr">
        <is>
          <t>M4×40mm screw unit price (CNY/set)</t>
        </is>
      </c>
    </row>
    <row r="5">
      <c r="A5" s="10" t="inlineStr">
        <is>
          <t>安装模板</t>
        </is>
      </c>
      <c r="B5" s="11" t="n"/>
      <c r="C5" s="6" t="n">
        <v>10</v>
      </c>
      <c r="D5" s="12" t="inlineStr">
        <is>
          <t>1:1安装模板(元/套)</t>
        </is>
      </c>
      <c r="E5" s="12" t="inlineStr">
        <is>
          <t>1:1 installation template (CNY/set)</t>
        </is>
      </c>
    </row>
    <row r="6">
      <c r="A6" s="7" t="inlineStr">
        <is>
          <t>大面积附加费</t>
        </is>
      </c>
      <c r="B6" s="8" t="n"/>
      <c r="C6" s="5" t="n">
        <v>100</v>
      </c>
      <c r="D6" s="9" t="inlineStr">
        <is>
          <t>边长≥100cm的字,大面积附加费(元/㎡)</t>
        </is>
      </c>
      <c r="E6" s="9" t="inlineStr">
        <is>
          <t>Large area surcharge (CNY/㎡) when maxLen≥100cm</t>
        </is>
      </c>
    </row>
    <row r="7">
      <c r="A7" s="10" t="inlineStr">
        <is>
          <t>电镀费(按cm)</t>
        </is>
      </c>
      <c r="B7" s="11" t="n"/>
      <c r="C7" s="6" t="n">
        <v>2.5</v>
      </c>
      <c r="D7" s="12" t="inlineStr">
        <is>
          <t>电镀费: 边长&lt;100cm按cm计价(元/cm)</t>
        </is>
      </c>
      <c r="E7" s="12" t="inlineStr">
        <is>
          <t>Electroplating fee per cm (CNY/cm) when maxLen&lt;100cm</t>
        </is>
      </c>
    </row>
    <row r="8">
      <c r="A8" s="7" t="inlineStr">
        <is>
          <t>电镀费(按㎡)</t>
        </is>
      </c>
      <c r="B8" s="8" t="n"/>
      <c r="C8" s="5" t="n">
        <v>250</v>
      </c>
      <c r="D8" s="9" t="inlineStr">
        <is>
          <t>电镀费: 边长≥100cm按㎡计价(元/㎡)</t>
        </is>
      </c>
      <c r="E8" s="9" t="inlineStr">
        <is>
          <t>Electroplating fee per sqm (CNY/㎡) when maxLen≥100cm</t>
        </is>
      </c>
    </row>
    <row r="9">
      <c r="A9" s="10" t="inlineStr">
        <is>
          <t>泡沫</t>
        </is>
      </c>
      <c r="B9" s="11" t="n"/>
      <c r="C9" s="6" t="n">
        <v>2</v>
      </c>
      <c r="D9" s="12" t="inlineStr">
        <is>
          <t>泡沫板间隔厚度(cm)</t>
        </is>
      </c>
      <c r="E9" s="12" t="inlineStr">
        <is>
          <t>Foam board gap thickness (cm)</t>
        </is>
      </c>
    </row>
    <row r="10">
      <c r="A10" s="7" t="inlineStr">
        <is>
          <t>胶合板</t>
        </is>
      </c>
      <c r="B10" s="8" t="n"/>
      <c r="C10" s="5" t="n">
        <v>1.5</v>
      </c>
      <c r="D10" s="9" t="inlineStr">
        <is>
          <t>木箱胶合板厚度(cm)</t>
        </is>
      </c>
      <c r="E10" s="9" t="inlineStr">
        <is>
          <t>Plywood crate wall thickness (cm)</t>
        </is>
      </c>
    </row>
    <row r="11">
      <c r="A11" s="10" t="inlineStr">
        <is>
          <t>叉车空间</t>
        </is>
      </c>
      <c r="B11" s="11" t="n"/>
      <c r="C11" s="6" t="n">
        <v>10</v>
      </c>
      <c r="D11" s="12" t="inlineStr">
        <is>
          <t>叉车脚空间预留(cm)</t>
        </is>
      </c>
      <c r="E11" s="12" t="inlineStr">
        <is>
          <t>Forklift clearance (cm)</t>
        </is>
      </c>
    </row>
    <row r="12">
      <c r="A12" s="7" t="inlineStr">
        <is>
          <t>木箱最大高</t>
        </is>
      </c>
      <c r="B12" s="8" t="n"/>
      <c r="C12" s="5" t="n">
        <v>120</v>
      </c>
      <c r="D12" s="9" t="inlineStr">
        <is>
          <t>木箱最大高度限制(cm)</t>
        </is>
      </c>
      <c r="E12" s="9" t="inlineStr">
        <is>
          <t>Maximum crate height (cm)</t>
        </is>
      </c>
    </row>
    <row r="13">
      <c r="A13" s="10" t="inlineStr">
        <is>
          <t>变压器尺寸-宽</t>
        </is>
      </c>
      <c r="B13" s="11" t="n"/>
      <c r="C13" s="6" t="n">
        <v>24</v>
      </c>
      <c r="D13" s="12" t="inlineStr">
        <is>
          <t>变压器宽度(cm)</t>
        </is>
      </c>
      <c r="E13" s="12" t="inlineStr">
        <is>
          <t>Transformer width (cm)</t>
        </is>
      </c>
    </row>
    <row r="14">
      <c r="A14" s="7" t="inlineStr">
        <is>
          <t>变压器尺寸-高</t>
        </is>
      </c>
      <c r="B14" s="8" t="n"/>
      <c r="C14" s="5" t="n">
        <v>15</v>
      </c>
      <c r="D14" s="9" t="inlineStr">
        <is>
          <t>变压器高度(cm)</t>
        </is>
      </c>
      <c r="E14" s="9" t="inlineStr">
        <is>
          <t>Transformer height (cm)</t>
        </is>
      </c>
    </row>
    <row r="15">
      <c r="A15" s="10" t="inlineStr">
        <is>
          <t>变压器尺寸-厚</t>
        </is>
      </c>
      <c r="B15" s="11" t="n"/>
      <c r="C15" s="6" t="n">
        <v>4</v>
      </c>
      <c r="D15" s="12" t="inlineStr">
        <is>
          <t>变压器厚度(cm)</t>
        </is>
      </c>
      <c r="E15" s="12" t="inlineStr">
        <is>
          <t>Transformer thickness (cm)</t>
        </is>
      </c>
    </row>
    <row r="16">
      <c r="A16" s="7" t="inlineStr">
        <is>
          <t>海运费用</t>
        </is>
      </c>
      <c r="B16" s="8" t="n"/>
      <c r="C16" s="5" t="n">
        <v>3969</v>
      </c>
      <c r="D16" s="9" t="inlineStr">
        <is>
          <t>海运DDU费用(元)</t>
        </is>
      </c>
      <c r="E16" s="9" t="inlineStr">
        <is>
          <t>Sea freight DDU (CNY)</t>
        </is>
      </c>
    </row>
    <row r="17">
      <c r="A17" s="10" t="inlineStr">
        <is>
          <t>空运费用</t>
        </is>
      </c>
      <c r="B17" s="11" t="n"/>
      <c r="C17" s="6" t="n">
        <v>7677</v>
      </c>
      <c r="D17" s="12" t="inlineStr">
        <is>
          <t>空运DDU费用(元)</t>
        </is>
      </c>
      <c r="E17" s="12" t="inlineStr">
        <is>
          <t>Air freight DDU (CNY)</t>
        </is>
      </c>
    </row>
    <row r="18">
      <c r="A18" s="7" t="inlineStr">
        <is>
          <t>灯带功率</t>
        </is>
      </c>
      <c r="B18" s="8" t="n"/>
      <c r="C18" s="5" t="n">
        <v>12</v>
      </c>
      <c r="D18" s="9" t="inlineStr">
        <is>
          <t>每米LED灯带功率(W/m)</t>
        </is>
      </c>
      <c r="E18" s="9" t="inlineStr">
        <is>
          <t>LED strip power per meter (W/m)</t>
        </is>
      </c>
    </row>
    <row r="19">
      <c r="A19" s="10" t="inlineStr">
        <is>
          <t>电源瓦数</t>
        </is>
      </c>
      <c r="B19" s="11" t="n"/>
      <c r="C19" s="6" t="n">
        <v>400</v>
      </c>
      <c r="D19" s="12" t="inlineStr">
        <is>
          <t>明纬电源额定功率(W)</t>
        </is>
      </c>
      <c r="E19" s="12" t="inlineStr">
        <is>
          <t>Mean Well power supply wattage (W)</t>
        </is>
      </c>
    </row>
    <row r="20">
      <c r="A20" s="7" t="inlineStr">
        <is>
          <t>电源单价</t>
        </is>
      </c>
      <c r="B20" s="8" t="n"/>
      <c r="C20" s="5" t="n">
        <v>150</v>
      </c>
      <c r="D20" s="9" t="inlineStr">
        <is>
          <t>明纬400W电源单价(元/个)</t>
        </is>
      </c>
      <c r="E20" s="9" t="inlineStr">
        <is>
          <t>Mean Well 400W power supply unit price (CNY)</t>
        </is>
      </c>
    </row>
    <row r="21">
      <c r="A21" s="10" t="inlineStr">
        <is>
          <t>RGB套餐价</t>
        </is>
      </c>
      <c r="B21" s="11" t="n"/>
      <c r="C21" s="6" t="n">
        <v>360</v>
      </c>
      <c r="D21" s="12" t="inlineStr">
        <is>
          <t>RGB总边长&lt;300cm 一价全包(含控制器+防水插头)</t>
        </is>
      </c>
      <c r="E21" s="12" t="inlineStr">
        <is>
          <t>RGB package price for total edge &lt; 300cm (incl. controller + waterproof plugs)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</cols>
  <sheetData>
    <row r="1">
      <c r="A1" s="13" t="inlineStr">
        <is>
          <t>博汇发光字报价公式</t>
        </is>
      </c>
      <c r="B1" s="14" t="inlineStr">
        <is>
          <t>完整计算流程说明</t>
        </is>
      </c>
    </row>
    <row r="2">
      <c r="B2" s="14" t="inlineStr"/>
    </row>
    <row r="3">
      <c r="A3" s="15" t="inlineStr">
        <is>
          <t>一、净价计算</t>
        </is>
      </c>
    </row>
    <row r="4">
      <c r="B4" s="14" t="inlineStr">
        <is>
          <t>净价 = 基础价 × 产品类型系数</t>
        </is>
      </c>
    </row>
    <row r="5">
      <c r="B5" s="14" t="inlineStr"/>
    </row>
    <row r="6">
      <c r="A6" s="15" t="inlineStr">
        <is>
          <t>1.1 基础价计算规则</t>
        </is>
      </c>
    </row>
    <row r="7">
      <c r="B7" s="14" t="inlineStr">
        <is>
          <t>取 max(宽, 高) 为 '最大边长' (maxLen)</t>
        </is>
      </c>
    </row>
    <row r="8">
      <c r="B8" s="14" t="inlineStr">
        <is>
          <t>• 30cm ≤ maxLen ≤ 59cm:  基础价 = maxLen × 材质.cm30 × 数量</t>
        </is>
      </c>
    </row>
    <row r="9">
      <c r="B9" s="14" t="inlineStr">
        <is>
          <t>• 60cm ≤ maxLen ≤ 99cm:  基础价 = maxLen × 材质.cm60 × 数量</t>
        </is>
      </c>
    </row>
    <row r="10">
      <c r="B10" s="14" t="inlineStr">
        <is>
          <t>• maxLen ≥ 100cm:         基础价 = 面积(㎡) × 材质.sqm × 数量</t>
        </is>
      </c>
    </row>
    <row r="11">
      <c r="B11" s="14" t="inlineStr">
        <is>
          <t>• maxLen &lt; 30cm:          按 30-59cm 档计算</t>
        </is>
      </c>
    </row>
    <row r="12">
      <c r="B12" s="14" t="inlineStr"/>
    </row>
    <row r="13">
      <c r="A13" s="15" t="inlineStr">
        <is>
          <t>1.2 示例</t>
        </is>
      </c>
    </row>
    <row r="14">
      <c r="B14" s="14" t="inlineStr">
        <is>
          <t>304不锈钢正面发光字, 50×50cm × 1个, maxLen=50cm</t>
        </is>
      </c>
    </row>
    <row r="15">
      <c r="B15" s="14" t="inlineStr">
        <is>
          <t>基础价 = 50 × 6.0(ss304.cm30) × 1 = 300 元</t>
        </is>
      </c>
    </row>
    <row r="16">
      <c r="B16" s="14" t="inlineStr">
        <is>
          <t>净价 = 300 × 1.0(front系数) = 300 元</t>
        </is>
      </c>
    </row>
    <row r="17">
      <c r="B17" s="14" t="inlineStr"/>
    </row>
    <row r="18">
      <c r="B18" s="14" t="inlineStr">
        <is>
          <t>304不锈钢正面发光字, 120×80cm × 2个, maxLen=120cm, 面积=0.96㎡</t>
        </is>
      </c>
    </row>
    <row r="19">
      <c r="B19" s="14" t="inlineStr">
        <is>
          <t>基础价 = 0.96 × 750(ss304.sqm) × 2 = 1,440 元</t>
        </is>
      </c>
    </row>
    <row r="20">
      <c r="B20" s="14" t="inlineStr">
        <is>
          <t>净价 = 1440 × 1.0(front系数) = 1,440 元</t>
        </is>
      </c>
    </row>
    <row r="21">
      <c r="B21" s="14" t="inlineStr"/>
    </row>
    <row r="22">
      <c r="A22" s="15" t="inlineStr">
        <is>
          <t>二、附加费用</t>
        </is>
      </c>
    </row>
    <row r="23">
      <c r="A23" s="16" t="inlineStr">
        <is>
          <t>2.1 大面积附加费</t>
        </is>
      </c>
      <c r="B23" s="14" t="inlineStr">
        <is>
          <t>材质不是电镀类(非ti_gold/rose_gold/antique_bronze/gun_black/green_bronze)</t>
        </is>
      </c>
    </row>
    <row r="24">
      <c r="B24" s="14" t="inlineStr">
        <is>
          <t>且 maxLen ≥ 100cm 时：大面积附加费 = 面积 × 100元/㎡ × 数量</t>
        </is>
      </c>
    </row>
    <row r="25">
      <c r="B25" s="14" t="inlineStr"/>
    </row>
    <row r="26">
      <c r="A26" s="16" t="inlineStr">
        <is>
          <t>2.2 电镀费</t>
        </is>
      </c>
      <c r="B26" s="14" t="inlineStr">
        <is>
          <t>仅电镀类材质(同上的5种电镀材质)</t>
        </is>
      </c>
    </row>
    <row r="27">
      <c r="B27" s="14" t="inlineStr">
        <is>
          <t>• maxLen &lt; 100cm: 电镀费 = maxLen × 2.5元/cm × 数量</t>
        </is>
      </c>
    </row>
    <row r="28">
      <c r="B28" s="14" t="inlineStr">
        <is>
          <t>• maxLen ≥ 100cm: 电镀费 = 面积 × 250元/㎡ × 数量</t>
        </is>
      </c>
    </row>
    <row r="29">
      <c r="B29" s="14" t="inlineStr"/>
    </row>
    <row r="30">
      <c r="A30" s="16" t="inlineStr">
        <is>
          <t>2.3 木箱费</t>
        </is>
      </c>
      <c r="B30" s="14" t="inlineStr">
        <is>
          <t>木箱费 = 木箱体积(m³) × 350元/m³</t>
        </is>
      </c>
    </row>
    <row r="31">
      <c r="B31" s="14" t="inlineStr">
        <is>
          <t>木箱体积计算详见「木箱体积计算」Sheet</t>
        </is>
      </c>
    </row>
    <row r="32">
      <c r="B32" s="14" t="inlineStr"/>
    </row>
    <row r="33">
      <c r="A33" s="16" t="inlineStr">
        <is>
          <t>2.4 电源费</t>
        </is>
      </c>
      <c r="B33" s="14" t="inlineStr">
        <is>
          <t>仅需电源的产品类型(hasPower=true)才计算</t>
        </is>
      </c>
    </row>
    <row r="34">
      <c r="B34" s="14" t="inlineStr">
        <is>
          <t>• RGB且总边长&lt;300cm: 固定套餐价360元(含控制器+防水插头)</t>
        </is>
      </c>
    </row>
    <row r="35">
      <c r="B35" s="14" t="inlineStr">
        <is>
          <t>• 其他: 计算总功率 → 算出所需电源数量 → 按150元/个计费</t>
        </is>
      </c>
    </row>
    <row r="36">
      <c r="B36" s="14" t="inlineStr">
        <is>
          <t xml:space="preserve">  总功率 = Σ(各字周长(m) × 12W/m × 数量) × 1.15(安全系数)</t>
        </is>
      </c>
    </row>
    <row r="37">
      <c r="B37" s="14" t="inlineStr">
        <is>
          <t xml:space="preserve">  电源数量 = ceil(总功率 / 400W)</t>
        </is>
      </c>
    </row>
    <row r="38">
      <c r="B38" s="14" t="inlineStr"/>
    </row>
    <row r="39">
      <c r="A39" s="15" t="inlineStr">
        <is>
          <t>2.5 配件费</t>
        </is>
      </c>
    </row>
    <row r="40">
      <c r="B40" s="14" t="inlineStr">
        <is>
          <t>• 螺丝: 数量 × 6套/字 × 0.5元/套 = 数量 × 3 元</t>
        </is>
      </c>
    </row>
    <row r="41">
      <c r="B41" s="14" t="inlineStr">
        <is>
          <t>• 安装模板: 每单10元</t>
        </is>
      </c>
    </row>
    <row r="42">
      <c r="B42" s="14" t="inlineStr">
        <is>
          <t>• 防水插头: 仅RGB且总边长≥300cm, 数量 × 2对 × 4元 = 数量 × 8 元</t>
        </is>
      </c>
    </row>
    <row r="43">
      <c r="B43" s="14" t="inlineStr"/>
    </row>
    <row r="44">
      <c r="A44" s="15" t="inlineStr">
        <is>
          <t>三、服务费</t>
        </is>
      </c>
    </row>
    <row r="45">
      <c r="B45" s="14" t="inlineStr">
        <is>
          <t>服务费 = (净价 + 电镀费 + 大面积附加费 + 木箱费) × 10%</t>
        </is>
      </c>
    </row>
    <row r="46">
      <c r="B46" s="14" t="inlineStr"/>
    </row>
    <row r="47">
      <c r="A47" s="15" t="inlineStr">
        <is>
          <t>四、内部成本总计</t>
        </is>
      </c>
    </row>
    <row r="48">
      <c r="B48" s="14" t="inlineStr">
        <is>
          <t>内部成本 = 净价 + 电镀费 + 大面积附加费 + 木箱费 + 配件费 + 服务费</t>
        </is>
      </c>
    </row>
    <row r="49">
      <c r="B49" s="14" t="inlineStr"/>
    </row>
    <row r="50">
      <c r="A50" s="15" t="inlineStr">
        <is>
          <t>五、对外正式报价(客户价)</t>
        </is>
      </c>
    </row>
    <row r="51">
      <c r="B51" s="14" t="inlineStr">
        <is>
          <t>加价率 = 可调节(默认30%)</t>
        </is>
      </c>
    </row>
    <row r="52">
      <c r="B52" s="14" t="inlineStr">
        <is>
          <t>正式报价 = 内部成本 × (1 + 加价率)</t>
        </is>
      </c>
    </row>
    <row r="53">
      <c r="B53" s="14" t="inlineStr"/>
    </row>
    <row r="54">
      <c r="A54" s="15" t="inlineStr">
        <is>
          <t>六、汇率</t>
        </is>
      </c>
    </row>
    <row r="55">
      <c r="B55" s="14" t="inlineStr">
        <is>
          <t>内部汇率: 1 USD = 6.8 CNY</t>
        </is>
      </c>
    </row>
    <row r="56">
      <c r="B56" s="14" t="inlineStr">
        <is>
          <t>客户汇率: 可调节(默认 1 USD = 6.6 CNY)</t>
        </is>
      </c>
    </row>
    <row r="57">
      <c r="B57" s="14" t="inlineStr">
        <is>
          <t>对外报价时: 人民币总价 ÷ 客户汇率 = 美元报价</t>
        </is>
      </c>
    </row>
    <row r="58">
      <c r="B58" s="14" t="inlineStr"/>
    </row>
    <row r="59">
      <c r="A59" s="15" t="inlineStr">
        <is>
          <t>七、完整公式汇总</t>
        </is>
      </c>
    </row>
    <row r="60">
      <c r="B60" s="14" t="inlineStr">
        <is>
          <t>正式报价 = [净价 + 电镀费/大面积费 + 木箱费 + 电源费 + 螺丝费 + 模板费 + 防水插头费 + 服务费] × (1 + 加价率)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40" customWidth="1" min="3" max="3"/>
  </cols>
  <sheetData>
    <row r="1">
      <c r="A1" s="15" t="inlineStr">
        <is>
          <t>木箱体积计算逻辑</t>
        </is>
      </c>
    </row>
    <row r="3">
      <c r="A3" s="17" t="inlineStr">
        <is>
          <t>Step 1</t>
        </is>
      </c>
      <c r="B3" s="18" t="inlineStr">
        <is>
          <t>将所有字块 + 变压器(如有)放入blocks列表</t>
        </is>
      </c>
      <c r="C3" s="19" t="inlineStr"/>
    </row>
    <row r="4">
      <c r="A4" s="17" t="inlineStr">
        <is>
          <t>Step 2</t>
        </is>
      </c>
      <c r="B4" s="18" t="inlineStr">
        <is>
          <t>按面积从大到小排序</t>
        </is>
      </c>
      <c r="C4" s="19" t="inlineStr"/>
    </row>
    <row r="5">
      <c r="A5" s="17" t="inlineStr">
        <is>
          <t>Step 3</t>
        </is>
      </c>
      <c r="B5" s="18" t="inlineStr">
        <is>
          <t>装箱算法(Bin Packing)</t>
        </is>
      </c>
      <c r="C5" s="19" t="inlineStr">
        <is>
          <t>遍历每个block, 尝试放入已有pile(堆)中:
• 条件: block宽≤pile宽, block高≤pile高,
  且 pile总厚 + block厚 + (pile数量+2)×2cm泡沫 + 2×1.5cm板厚 + 10cm叉车空间 ≤ 120cm最大高度
• 放得下: 加入该pile, 更新总厚
• 放不下: 新建一个pile</t>
        </is>
      </c>
    </row>
    <row r="6">
      <c r="A6" s="17" t="inlineStr">
        <is>
          <t>Step 4</t>
        </is>
      </c>
      <c r="B6" s="18" t="inlineStr">
        <is>
          <t>计算每pile总高度</t>
        </is>
      </c>
      <c r="C6" s="19" t="inlineStr">
        <is>
          <t>总高 = 累计厚度 + (数量+1)×2cm泡沫 + 2×1.5cm板厚 + 10cm叉车空间</t>
        </is>
      </c>
    </row>
    <row r="7">
      <c r="A7" s="17" t="inlineStr">
        <is>
          <t>Step 5</t>
        </is>
      </c>
      <c r="B7" s="18" t="inlineStr">
        <is>
          <t>排列piles(按面积从大到小)</t>
        </is>
      </c>
      <c r="C7" s="19" t="inlineStr">
        <is>
          <t>从左到右排列, 每行总宽超过300cm时换行</t>
        </is>
      </c>
    </row>
    <row r="8">
      <c r="A8" s="17" t="inlineStr">
        <is>
          <t>Step 6</t>
        </is>
      </c>
      <c r="B8" s="18" t="inlineStr">
        <is>
          <t>计算外箱尺寸</t>
        </is>
      </c>
      <c r="C8" s="19" t="inlineStr">
        <is>
          <t>外宽 = 行最大宽 + 2×2cm + 2×1.5cm
外深 = 各行之高之和 + 间隔泡沫
外高 = 各pile最大总高</t>
        </is>
      </c>
    </row>
    <row r="9">
      <c r="A9" s="17" t="inlineStr">
        <is>
          <t>Step 7</t>
        </is>
      </c>
      <c r="B9" s="18" t="inlineStr">
        <is>
          <t>计算体积</t>
        </is>
      </c>
      <c r="C9" s="19" t="inlineStr">
        <is>
          <t>体积(m³) = (外宽×外深×外高) / 1,000,000</t>
        </is>
      </c>
    </row>
    <row r="10">
      <c r="A10" s="17" t="inlineStr"/>
      <c r="B10" s="18" t="inlineStr"/>
      <c r="C10" s="19" t="inlineStr"/>
    </row>
    <row r="11">
      <c r="A11" s="20" t="inlineStr">
        <is>
          <t>常量值</t>
        </is>
      </c>
      <c r="B11" s="21" t="inlineStr"/>
      <c r="C11" s="22" t="inlineStr"/>
    </row>
    <row r="12">
      <c r="A12" s="17" t="inlineStr">
        <is>
          <t>泡沫间隔(FOAM)</t>
        </is>
      </c>
      <c r="B12" s="18" t="inlineStr">
        <is>
          <t>2 cm</t>
        </is>
      </c>
      <c r="C12" s="19" t="inlineStr">
        <is>
          <t>每层之间的泡沫板</t>
        </is>
      </c>
    </row>
    <row r="13">
      <c r="A13" s="17" t="inlineStr">
        <is>
          <t>胶合板厚(PLY)</t>
        </is>
      </c>
      <c r="B13" s="18" t="inlineStr">
        <is>
          <t>1.5 cm</t>
        </is>
      </c>
      <c r="C13" s="19" t="inlineStr">
        <is>
          <t>木箱壁厚</t>
        </is>
      </c>
    </row>
    <row r="14">
      <c r="A14" s="17" t="inlineStr">
        <is>
          <t>叉车空间(FORK)</t>
        </is>
      </c>
      <c r="B14" s="18" t="inlineStr">
        <is>
          <t>10 cm</t>
        </is>
      </c>
      <c r="C14" s="19" t="inlineStr">
        <is>
          <t>底部叉车脚空间</t>
        </is>
      </c>
    </row>
    <row r="15">
      <c r="A15" s="17" t="inlineStr">
        <is>
          <t>木箱最大高(MAX_H)</t>
        </is>
      </c>
      <c r="B15" s="18" t="inlineStr">
        <is>
          <t>120 cm</t>
        </is>
      </c>
      <c r="C15" s="19" t="inlineStr">
        <is>
          <t>超过此高度需要拆分</t>
        </is>
      </c>
    </row>
    <row r="16">
      <c r="A16" s="17" t="inlineStr">
        <is>
          <t>变压器尺寸</t>
        </is>
      </c>
      <c r="B16" s="18" t="inlineStr">
        <is>
          <t>24×15×4 cm</t>
        </is>
      </c>
      <c r="C16" s="19" t="inlineStr">
        <is>
          <t>宽×高×厚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.8" customWidth="1" min="3" max="3"/>
  </cols>
  <sheetData>
    <row r="1">
      <c r="A1" s="1" t="inlineStr">
        <is>
          <t>序号</t>
        </is>
      </c>
      <c r="B1" s="1" t="inlineStr">
        <is>
          <t>电镀颜色</t>
        </is>
      </c>
      <c r="C1" s="1" t="inlineStr">
        <is>
          <t>可电镀材质</t>
        </is>
      </c>
    </row>
    <row r="2">
      <c r="A2" t="n">
        <v>1</v>
      </c>
      <c r="B2" t="inlineStr">
        <is>
          <t>钛金</t>
        </is>
      </c>
      <c r="C2" t="inlineStr">
        <is>
          <t>201不锈钢, 304不锈钢</t>
        </is>
      </c>
    </row>
    <row r="3">
      <c r="A3" t="n">
        <v>2</v>
      </c>
      <c r="B3" t="inlineStr">
        <is>
          <t>玫瑰金</t>
        </is>
      </c>
      <c r="C3" t="inlineStr">
        <is>
          <t>201不锈钢, 304不锈钢</t>
        </is>
      </c>
    </row>
    <row r="4">
      <c r="A4" t="n">
        <v>3</v>
      </c>
      <c r="B4" t="inlineStr">
        <is>
          <t>古铜</t>
        </is>
      </c>
      <c r="C4" t="inlineStr">
        <is>
          <t>201不锈钢, 304不锈钢</t>
        </is>
      </c>
    </row>
    <row r="5">
      <c r="A5" t="n">
        <v>4</v>
      </c>
      <c r="B5" t="inlineStr">
        <is>
          <t>枪黑</t>
        </is>
      </c>
      <c r="C5" t="inlineStr">
        <is>
          <t>201不锈钢, 304不锈钢</t>
        </is>
      </c>
    </row>
    <row r="6">
      <c r="A6" t="n">
        <v>5</v>
      </c>
      <c r="B6" t="inlineStr">
        <is>
          <t>青古铜</t>
        </is>
      </c>
      <c r="C6" t="inlineStr">
        <is>
          <t>201不锈钢, 304不锈钢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60" customWidth="1" min="3" max="3"/>
  </cols>
  <sheetData>
    <row r="1">
      <c r="A1" s="23" t="inlineStr">
        <is>
          <t>博汇发光字报价计算器</t>
        </is>
      </c>
    </row>
    <row r="3">
      <c r="A3" s="24">
        <f>== 输入参数 ===</f>
        <v/>
      </c>
    </row>
    <row r="4">
      <c r="A4" s="25" t="inlineStr">
        <is>
          <t>产品类型编码</t>
        </is>
      </c>
      <c r="B4" s="26" t="inlineStr">
        <is>
          <t>front</t>
        </is>
      </c>
    </row>
    <row r="5">
      <c r="A5" s="25" t="inlineStr">
        <is>
          <t>材质编码</t>
        </is>
      </c>
      <c r="B5" s="26" t="inlineStr">
        <is>
          <t>ss304</t>
        </is>
      </c>
    </row>
    <row r="6">
      <c r="A6" s="25" t="inlineStr">
        <is>
          <t>宽度(cm)</t>
        </is>
      </c>
      <c r="B6" s="26" t="n">
        <v>50</v>
      </c>
    </row>
    <row r="7">
      <c r="A7" s="25" t="inlineStr">
        <is>
          <t>高度(cm)</t>
        </is>
      </c>
      <c r="B7" s="26" t="n">
        <v>50</v>
      </c>
    </row>
    <row r="8">
      <c r="A8" s="25" t="inlineStr">
        <is>
          <t>厚度(cm)</t>
        </is>
      </c>
      <c r="B8" s="26" t="n">
        <v>8</v>
      </c>
    </row>
    <row r="9">
      <c r="A9" s="25" t="inlineStr">
        <is>
          <t>数量</t>
        </is>
      </c>
      <c r="B9" s="26" t="n">
        <v>1</v>
      </c>
    </row>
    <row r="10">
      <c r="A10" s="25" t="inlineStr">
        <is>
          <t>加价率(%)</t>
        </is>
      </c>
      <c r="B10" s="26" t="n">
        <v>30</v>
      </c>
    </row>
    <row r="12">
      <c r="A12" s="24">
        <f>== 中间计算 ===</f>
        <v/>
      </c>
    </row>
    <row r="13">
      <c r="A13" s="26" t="inlineStr">
        <is>
          <t>最大边长 maxLen</t>
        </is>
      </c>
      <c r="B13" s="26" t="n">
        <v>50</v>
      </c>
      <c r="C13" s="27">
        <f>MAX(B6, B7)</f>
        <v/>
      </c>
    </row>
    <row r="14">
      <c r="A14" s="26" t="inlineStr">
        <is>
          <t>面积(㎡)</t>
        </is>
      </c>
      <c r="B14" s="26" t="n">
        <v>0.25</v>
      </c>
      <c r="C14" s="27">
        <f>B6*B7/10000</f>
        <v/>
      </c>
    </row>
    <row r="15">
      <c r="A15" s="26" t="inlineStr">
        <is>
          <t>材质单价(按cm)</t>
        </is>
      </c>
      <c r="B15" s="26" t="n">
        <v>6</v>
      </c>
      <c r="C15" s="27">
        <f>VLOOKUP(B5,材质单价表!B:G,5,FALSE)  // cm30</f>
        <v/>
      </c>
    </row>
    <row r="16">
      <c r="A16" s="26" t="inlineStr">
        <is>
          <t>材质单价(按cm2)</t>
        </is>
      </c>
      <c r="B16" s="26" t="n">
        <v>7</v>
      </c>
      <c r="C16" s="27">
        <f>VLOOKUP(B5,材质单价表!B:G,6,FALSE)  // cm60</f>
        <v/>
      </c>
    </row>
    <row r="17">
      <c r="A17" s="26" t="inlineStr">
        <is>
          <t>材质单价(按㎡)</t>
        </is>
      </c>
      <c r="B17" s="26" t="n">
        <v>750</v>
      </c>
      <c r="C17" s="27">
        <f>VLOOKUP(B5,材质单价表!B:G,7,FALSE)  // sqm</f>
        <v/>
      </c>
    </row>
    <row r="18">
      <c r="A18" s="26" t="inlineStr">
        <is>
          <t>产品类型系数</t>
        </is>
      </c>
      <c r="B18" s="26" t="n">
        <v>1</v>
      </c>
      <c r="C18" s="27">
        <f>VLOOKUP(B4,产品类型系数!B:E,4,FALSE)</f>
        <v/>
      </c>
    </row>
    <row r="20">
      <c r="A20" s="24">
        <f>== 计算结果 ===</f>
        <v/>
      </c>
    </row>
    <row r="21">
      <c r="A21" s="26" t="inlineStr">
        <is>
          <t>基础价</t>
        </is>
      </c>
      <c r="B21" s="28" t="n">
        <v>300</v>
      </c>
      <c r="C21" s="27" t="inlineStr">
        <is>
          <t>若 maxLen&lt;100: maxLen × cm单价 × 数量; 否则: 面积 × sqm单价 × 数量</t>
        </is>
      </c>
    </row>
    <row r="22">
      <c r="A22" s="26" t="inlineStr">
        <is>
          <t>净价(基础×系数)</t>
        </is>
      </c>
      <c r="B22" s="28" t="n">
        <v>300</v>
      </c>
      <c r="C22" s="27" t="inlineStr">
        <is>
          <t>基础价 × 产品类型系数</t>
        </is>
      </c>
    </row>
    <row r="23">
      <c r="A23" s="26" t="inlineStr">
        <is>
          <t>大面积附加费</t>
        </is>
      </c>
      <c r="B23" s="28" t="n">
        <v>0</v>
      </c>
      <c r="C23" s="27" t="inlineStr">
        <is>
          <t>非电镀材质且maxLen≥100cm 时: 面积×100×数量</t>
        </is>
      </c>
    </row>
    <row r="24">
      <c r="A24" s="26" t="inlineStr">
        <is>
          <t>电镀费</t>
        </is>
      </c>
      <c r="B24" s="28" t="n">
        <v>0</v>
      </c>
      <c r="C24" s="27" t="inlineStr">
        <is>
          <t>仅电镀材质: maxLen&lt;100? maxLen×2.5×数量 : 面积×250×数量</t>
        </is>
      </c>
    </row>
    <row r="25">
      <c r="A25" s="26" t="inlineStr">
        <is>
          <t>木箱费(估算)</t>
        </is>
      </c>
      <c r="B25" s="28" t="n">
        <v>0</v>
      </c>
      <c r="C25" s="27" t="inlineStr">
        <is>
          <t>木箱体积×350 (参见木箱体积计算Sheet)</t>
        </is>
      </c>
    </row>
    <row r="26">
      <c r="A26" s="26" t="inlineStr">
        <is>
          <t>电源费</t>
        </is>
      </c>
      <c r="B26" s="28" t="n">
        <v>0</v>
      </c>
      <c r="C26" s="27" t="inlineStr">
        <is>
          <t>有电源? 按功率计算 : 0</t>
        </is>
      </c>
    </row>
    <row r="27">
      <c r="A27" s="26" t="inlineStr">
        <is>
          <t>配件费(螺丝+模板)</t>
        </is>
      </c>
      <c r="B27" s="28" t="n">
        <v>13</v>
      </c>
      <c r="C27" s="27" t="inlineStr">
        <is>
          <t>数量×3 + 10</t>
        </is>
      </c>
    </row>
    <row r="28">
      <c r="A28" s="26" t="inlineStr">
        <is>
          <t>服务费(10%)</t>
        </is>
      </c>
      <c r="B28" s="28" t="n">
        <v>30</v>
      </c>
      <c r="C28" s="27" t="inlineStr">
        <is>
          <t>(净价+附加费+木箱费)×10%</t>
        </is>
      </c>
    </row>
    <row r="29">
      <c r="A29" s="26" t="inlineStr">
        <is>
          <t>内部成本总计</t>
        </is>
      </c>
      <c r="B29" s="28" t="n">
        <v>343</v>
      </c>
      <c r="C29" s="27" t="inlineStr">
        <is>
          <t>以上各项之和</t>
        </is>
      </c>
    </row>
    <row r="30">
      <c r="A30" s="29" t="inlineStr">
        <is>
          <t>正式报价(含加价)</t>
        </is>
      </c>
      <c r="B30" s="30" t="n">
        <v>446</v>
      </c>
      <c r="C30" s="27" t="inlineStr">
        <is>
          <t>内部成本×(1+加价率)</t>
        </is>
      </c>
    </row>
  </sheetData>
  <mergeCells count="4">
    <mergeCell ref="A12:J12"/>
    <mergeCell ref="A1:J1"/>
    <mergeCell ref="A20:J20"/>
    <mergeCell ref="A3:J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4" customWidth="1" min="1" max="1"/>
    <col width="16.4" customWidth="1" min="2" max="2"/>
    <col width="24.8" customWidth="1" min="3" max="3"/>
  </cols>
  <sheetData>
    <row r="1">
      <c r="A1" s="1" t="inlineStr">
        <is>
          <t>序号</t>
        </is>
      </c>
      <c r="B1" s="1" t="inlineStr">
        <is>
          <t>色温值</t>
        </is>
      </c>
      <c r="C1" s="1" t="inlineStr">
        <is>
          <t>描述</t>
        </is>
      </c>
    </row>
    <row r="2">
      <c r="A2" t="n">
        <v>1</v>
      </c>
      <c r="B2" t="inlineStr">
        <is>
          <t>2200K-2400K</t>
        </is>
      </c>
      <c r="C2" t="inlineStr">
        <is>
          <t>Ultra Warm / 超暖黄</t>
        </is>
      </c>
    </row>
    <row r="3">
      <c r="A3" t="n">
        <v>2</v>
      </c>
      <c r="B3" t="inlineStr">
        <is>
          <t>2500K-2700K</t>
        </is>
      </c>
      <c r="C3" t="inlineStr">
        <is>
          <t>Warm Amber / 暖琥珀</t>
        </is>
      </c>
    </row>
    <row r="4">
      <c r="A4" t="n">
        <v>3</v>
      </c>
      <c r="B4" t="inlineStr">
        <is>
          <t>2800K-3200K</t>
        </is>
      </c>
      <c r="C4" t="inlineStr">
        <is>
          <t>Warm White / 暖白</t>
        </is>
      </c>
    </row>
    <row r="5">
      <c r="A5" t="n">
        <v>4</v>
      </c>
      <c r="B5" t="inlineStr">
        <is>
          <t>3500K-4500K</t>
        </is>
      </c>
      <c r="C5" t="inlineStr">
        <is>
          <t>Neutral White / 中性白</t>
        </is>
      </c>
    </row>
    <row r="6">
      <c r="A6" t="n">
        <v>5</v>
      </c>
      <c r="B6" t="inlineStr">
        <is>
          <t>5000K-5800K</t>
        </is>
      </c>
      <c r="C6" t="inlineStr">
        <is>
          <t>Daylight / 日光</t>
        </is>
      </c>
    </row>
    <row r="7">
      <c r="A7" t="n">
        <v>6</v>
      </c>
      <c r="B7" t="inlineStr">
        <is>
          <t>6000K-6500K</t>
        </is>
      </c>
      <c r="C7" t="inlineStr">
        <is>
          <t>Cool White / 正白(冷白)</t>
        </is>
      </c>
    </row>
    <row r="8">
      <c r="A8" t="n">
        <v>7</v>
      </c>
      <c r="B8" t="inlineStr">
        <is>
          <t>6500K-7000K</t>
        </is>
      </c>
      <c r="C8" t="inlineStr">
        <is>
          <t>Ice White / 冰白</t>
        </is>
      </c>
    </row>
    <row r="9">
      <c r="A9" t="n">
        <v>8</v>
      </c>
      <c r="B9" t="inlineStr">
        <is>
          <t>7000K-8000K</t>
        </is>
      </c>
      <c r="C9" t="inlineStr">
        <is>
          <t>Pure Cold / 纯冷</t>
        </is>
      </c>
    </row>
    <row r="10">
      <c r="A10" t="n">
        <v>9</v>
      </c>
      <c r="B10" t="inlineStr">
        <is>
          <t>8000K-9000K</t>
        </is>
      </c>
      <c r="C10" t="inlineStr">
        <is>
          <t>Arctic White / 极地白</t>
        </is>
      </c>
    </row>
    <row r="11">
      <c r="A11" t="n">
        <v>10</v>
      </c>
      <c r="B11" t="inlineStr">
        <is>
          <t>9000K-10000K</t>
        </is>
      </c>
      <c r="C11" t="inlineStr">
        <is>
          <t>Crystal White / 水晶白</t>
        </is>
      </c>
    </row>
    <row r="12">
      <c r="A12" t="n">
        <v>11</v>
      </c>
      <c r="B12" t="inlineStr">
        <is>
          <t>10000K+</t>
        </is>
      </c>
      <c r="C12" t="inlineStr">
        <is>
          <t>Diamond White / 钻石白</t>
        </is>
      </c>
    </row>
    <row r="13">
      <c r="A13" t="n">
        <v>12</v>
      </c>
      <c r="B13" t="inlineStr">
        <is>
          <t>RGB</t>
        </is>
      </c>
      <c r="C13" t="inlineStr">
        <is>
          <t>Full Color / 全彩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2026-06-23T15:28:51Z</dcterms:created>
  <dcterms:modified xmlns:dcterms="http://purl.org/dc/terms/" xmlns:xsi="http://www.w3.org/2001/XMLSchema-instance" xsi:type="dcterms:W3CDTF">2026-06-23T15:28:51Z</dcterms:modified>
</cp:coreProperties>
</file>